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SUS\Documents\Machine-Learning\WEEK6\"/>
    </mc:Choice>
  </mc:AlternateContent>
  <xr:revisionPtr revIDLastSave="0" documentId="13_ncr:1_{8E0E93EA-0774-4112-A907-1891D119715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ta NB" sheetId="1" r:id="rId1"/>
    <sheet name="Quiz NB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IvpxLtgn7pUZIyLtdHDuz36NTvFsaIEOlEZOQPYI0Uc="/>
    </ext>
  </extLst>
</workbook>
</file>

<file path=xl/calcChain.xml><?xml version="1.0" encoding="utf-8"?>
<calcChain xmlns="http://schemas.openxmlformats.org/spreadsheetml/2006/main">
  <c r="D34" i="2" l="1"/>
  <c r="I31" i="2"/>
  <c r="D32" i="2"/>
  <c r="D42" i="2"/>
  <c r="D45" i="2" s="1"/>
  <c r="D44" i="2"/>
  <c r="D43" i="2"/>
  <c r="D41" i="2"/>
  <c r="D40" i="2"/>
  <c r="D30" i="2"/>
  <c r="D35" i="2"/>
  <c r="D31" i="2"/>
  <c r="D33" i="2"/>
  <c r="C69" i="1"/>
  <c r="C64" i="1"/>
  <c r="C63" i="1"/>
  <c r="C58" i="1"/>
  <c r="C56" i="1"/>
  <c r="C55" i="1"/>
  <c r="C54" i="1"/>
  <c r="H53" i="1"/>
  <c r="C53" i="1"/>
  <c r="C52" i="1"/>
  <c r="C20" i="1"/>
  <c r="C19" i="1"/>
</calcChain>
</file>

<file path=xl/sharedStrings.xml><?xml version="1.0" encoding="utf-8"?>
<sst xmlns="http://schemas.openxmlformats.org/spreadsheetml/2006/main" count="207" uniqueCount="80">
  <si>
    <t xml:space="preserve">Cara Kerja Naive Bayes Classification </t>
  </si>
  <si>
    <t>1. Persiapan Data</t>
  </si>
  <si>
    <t>Day</t>
  </si>
  <si>
    <t>Outlook</t>
  </si>
  <si>
    <t>Temperature</t>
  </si>
  <si>
    <t>Humidity</t>
  </si>
  <si>
    <t>Wind</t>
  </si>
  <si>
    <t>Play Ball</t>
  </si>
  <si>
    <t>Sunny</t>
  </si>
  <si>
    <t>Hot</t>
  </si>
  <si>
    <t>High</t>
  </si>
  <si>
    <t>Weak</t>
  </si>
  <si>
    <t>No</t>
  </si>
  <si>
    <t>Strong</t>
  </si>
  <si>
    <t>Cloudy</t>
  </si>
  <si>
    <t>Yes</t>
  </si>
  <si>
    <t>Rain</t>
  </si>
  <si>
    <t>Mild</t>
  </si>
  <si>
    <t>Cool</t>
  </si>
  <si>
    <t>Normal</t>
  </si>
  <si>
    <t xml:space="preserve">Cool </t>
  </si>
  <si>
    <t>2. Hitung Probabilitas Kelas</t>
  </si>
  <si>
    <t>P(Yes) =</t>
  </si>
  <si>
    <t>P(No) =</t>
  </si>
  <si>
    <t>3. Hitung Probabilitas Kondisional</t>
  </si>
  <si>
    <t>Untuk menghitung probabilitas prediksi, kita perlu menghitung probabilitas dari setiap fitur terhadap kelas "Yes" dan "No".</t>
  </si>
  <si>
    <t>a. Outlook</t>
  </si>
  <si>
    <t>b. Temperature</t>
  </si>
  <si>
    <t>Yes(4)</t>
  </si>
  <si>
    <t>No(3)</t>
  </si>
  <si>
    <t>c. Humidity</t>
  </si>
  <si>
    <t>d. Wind</t>
  </si>
  <si>
    <t>Contoh Prediksi:</t>
  </si>
  <si>
    <t>Misalkan kita ingin prediksi data berikut:</t>
  </si>
  <si>
    <t>Outlook = Sunny, Temperature = cool, Humidity = High, Wind = Strong</t>
  </si>
  <si>
    <t>Hitung Probabilitas Kelas:</t>
  </si>
  <si>
    <t>P(Yes|Fitur) = P(Yes) * P(Sunny|Yes) * P(Cool|Yes) * P(High|Yes) * P(Strong|Yes)</t>
  </si>
  <si>
    <t xml:space="preserve">P(Yes) = </t>
  </si>
  <si>
    <t xml:space="preserve">P(Sunny|Yes) = </t>
  </si>
  <si>
    <t xml:space="preserve">Gunakan Laplace smoothing: (0+1)/(4+3) </t>
  </si>
  <si>
    <t xml:space="preserve">P(Cool|Yes) = </t>
  </si>
  <si>
    <t xml:space="preserve">P(High|Yes) = </t>
  </si>
  <si>
    <t xml:space="preserve">P(Strong|Yes) = </t>
  </si>
  <si>
    <t xml:space="preserve">P(Yes|Fitur) </t>
  </si>
  <si>
    <t>P(No|Fitur) = P(No) * P(Sunny|No) * P(Cool|No) * P(High|No) * P(Strong|No)</t>
  </si>
  <si>
    <t xml:space="preserve">P(No) = </t>
  </si>
  <si>
    <t xml:space="preserve">P(Sunny|No) = </t>
  </si>
  <si>
    <t xml:space="preserve">P(Cool|No) = </t>
  </si>
  <si>
    <t xml:space="preserve">P(High|No) = </t>
  </si>
  <si>
    <t xml:space="preserve">P(Strong|No) = </t>
  </si>
  <si>
    <t xml:space="preserve">P(No|Fitur) </t>
  </si>
  <si>
    <t>4. Menerapkan teorema Bayes</t>
  </si>
  <si>
    <t>📌 Kesimpulan:</t>
  </si>
  <si>
    <t>Karena P(No | Fitur) &gt; P(Yes | Fitur), maka prediksi Naive Bayes untuk data:</t>
  </si>
  <si>
    <t>Outlook = Sunny, Temperature = Cool, Humidity = High, Wind = Strong</t>
  </si>
  <si>
    <r>
      <rPr>
        <sz val="11"/>
        <color theme="1"/>
        <rFont val="Calibri"/>
      </rPr>
      <t xml:space="preserve">adalah: </t>
    </r>
    <r>
      <rPr>
        <b/>
        <sz val="11"/>
        <color theme="1"/>
        <rFont val="Calibri"/>
      </rPr>
      <t>"No"</t>
    </r>
  </si>
  <si>
    <t>Naive Bayes Classification - Quiz</t>
  </si>
  <si>
    <t>Nama :</t>
  </si>
  <si>
    <t>NIM :</t>
  </si>
  <si>
    <t xml:space="preserve">Kelas : </t>
  </si>
  <si>
    <t>1. Data</t>
  </si>
  <si>
    <t>❓Pertanyaan:</t>
  </si>
  <si>
    <r>
      <rPr>
        <sz val="11"/>
        <color theme="1"/>
        <rFont val="Calibri"/>
      </rPr>
      <t xml:space="preserve">Berdasarkan data di atas, gunakan algoritma </t>
    </r>
    <r>
      <rPr>
        <b/>
        <sz val="11"/>
        <color theme="1"/>
        <rFont val="Calibri"/>
      </rPr>
      <t>Naive Bayes</t>
    </r>
    <r>
      <rPr>
        <sz val="11"/>
        <color theme="1"/>
        <rFont val="Calibri"/>
      </rPr>
      <t xml:space="preserve"> untuk memprediksi apakah seseorang akan </t>
    </r>
    <r>
      <rPr>
        <b/>
        <sz val="11"/>
        <color theme="1"/>
        <rFont val="Calibri"/>
      </rPr>
      <t>Play = Yes atau No</t>
    </r>
    <r>
      <rPr>
        <sz val="11"/>
        <color theme="1"/>
        <rFont val="Calibri"/>
      </rPr>
      <t xml:space="preserve"> jika kondisi cuaca berikut:</t>
    </r>
  </si>
  <si>
    <t xml:space="preserve">  - Outlook = Sunny</t>
  </si>
  <si>
    <t xml:space="preserve">  - Temperature = Cool</t>
  </si>
  <si>
    <t xml:space="preserve">  - Humidity = High</t>
  </si>
  <si>
    <t xml:space="preserve">  - Windy = Weak</t>
  </si>
  <si>
    <t>Petunjuk:</t>
  </si>
  <si>
    <t>- Hitung probabilitas P(Yes) dan P(No)</t>
  </si>
  <si>
    <t>- Hitung probabilitas kondisi fitur terhadap setiap kelas</t>
  </si>
  <si>
    <t>- Gunakan Laplace smoothing jika perlu</t>
  </si>
  <si>
    <t>- Tentukan prediksi akhir berdasarkan probabilitas tertinggi</t>
  </si>
  <si>
    <t>No(4)</t>
  </si>
  <si>
    <t>4/8</t>
  </si>
  <si>
    <t xml:space="preserve">P(Weak|Yes) = </t>
  </si>
  <si>
    <t xml:space="preserve">P(Weak|No) = </t>
  </si>
  <si>
    <t>Outlook = Sunny, Temperature = Cool, Humidity = High, Wind = Weak</t>
  </si>
  <si>
    <t xml:space="preserve">Gunakan Laplace smoothing: (0+1)/(4+4) </t>
  </si>
  <si>
    <t>Roni Gunawan Muhammad</t>
  </si>
  <si>
    <t>Robotika A Malam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</si>
</sst>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\ ?/4"/>
    <numFmt numFmtId="165" formatCode="_(* #,##0.00000_);_(* \(#,##0.00000\);_(* &quot;-&quot;?????_);_(@_)"/>
    <numFmt numFmtId="166" formatCode="#\ ?/8"/>
  </numFmts>
  <fonts count="10">
    <font>
      <sz val="11"/>
      <color theme="1"/>
      <name val="Calibri"/>
      <scheme val="minor"/>
    </font>
    <font>
      <b/>
      <sz val="14"/>
      <color theme="1"/>
      <name val="Calibri"/>
    </font>
    <font>
      <b/>
      <sz val="11"/>
      <color theme="1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b/>
      <sz val="13"/>
      <color theme="1"/>
      <name val="Calibri"/>
    </font>
    <font>
      <b/>
      <sz val="10"/>
      <color theme="1"/>
      <name val="Arimo"/>
    </font>
    <font>
      <b/>
      <sz val="14"/>
      <color rgb="FFFF0000"/>
      <name val="Calibri"/>
    </font>
    <font>
      <b/>
      <sz val="12"/>
      <color rgb="FFFF0000"/>
      <name val="Calibri"/>
    </font>
    <font>
      <sz val="11"/>
      <color rgb="FFFF0000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0" xfId="0" applyFont="1"/>
    <xf numFmtId="12" fontId="3" fillId="0" borderId="0" xfId="0" applyNumberFormat="1" applyFont="1"/>
    <xf numFmtId="0" fontId="3" fillId="0" borderId="0" xfId="0" applyFont="1" applyAlignment="1">
      <alignment vertical="top"/>
    </xf>
    <xf numFmtId="0" fontId="3" fillId="0" borderId="1" xfId="0" applyFont="1" applyBorder="1"/>
    <xf numFmtId="0" fontId="3" fillId="0" borderId="0" xfId="0" applyFont="1" applyAlignment="1">
      <alignment horizontal="center"/>
    </xf>
    <xf numFmtId="164" fontId="3" fillId="0" borderId="0" xfId="0" applyNumberFormat="1" applyFont="1"/>
    <xf numFmtId="165" fontId="3" fillId="0" borderId="0" xfId="0" applyNumberFormat="1" applyFont="1"/>
    <xf numFmtId="0" fontId="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6" fontId="3" fillId="0" borderId="0" xfId="0" applyNumberFormat="1" applyFont="1"/>
    <xf numFmtId="16" fontId="3" fillId="0" borderId="0" xfId="0" applyNumberFormat="1" applyFont="1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9" fillId="0" borderId="0" xfId="0" applyFont="1"/>
    <xf numFmtId="0" fontId="3" fillId="0" borderId="0" xfId="0" applyFont="1"/>
    <xf numFmtId="0" fontId="2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3" xfId="0" applyFont="1" applyBorder="1"/>
    <xf numFmtId="0" fontId="2" fillId="0" borderId="0" xfId="0" applyFont="1" applyAlignment="1">
      <alignment horizontal="center"/>
    </xf>
    <xf numFmtId="0" fontId="0" fillId="0" borderId="0" xfId="0"/>
    <xf numFmtId="0" fontId="7" fillId="0" borderId="0" xfId="0" applyFont="1" applyAlignment="1">
      <alignment horizontal="center"/>
    </xf>
    <xf numFmtId="0" fontId="3" fillId="0" borderId="0" xfId="0" applyFont="1" applyAlignment="1">
      <alignment horizontal="left" vertical="top" wrapText="1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/>
    </xf>
    <xf numFmtId="0" fontId="4" fillId="0" borderId="3" xfId="0" applyFont="1" applyBorder="1"/>
    <xf numFmtId="49" fontId="3" fillId="0" borderId="3" xfId="0" applyNumberFormat="1" applyFont="1" applyBorder="1"/>
    <xf numFmtId="12" fontId="3" fillId="0" borderId="3" xfId="0" quotePrefix="1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12" fontId="3" fillId="0" borderId="3" xfId="0" applyNumberFormat="1" applyFont="1" applyBorder="1" applyAlignment="1">
      <alignment horizontal="center"/>
    </xf>
    <xf numFmtId="165" fontId="3" fillId="0" borderId="3" xfId="0" applyNumberFormat="1" applyFont="1" applyBorder="1"/>
    <xf numFmtId="0" fontId="4" fillId="0" borderId="3" xfId="0" applyFont="1" applyBorder="1" applyAlignment="1">
      <alignment horizontal="left"/>
    </xf>
    <xf numFmtId="12" fontId="3" fillId="0" borderId="3" xfId="0" applyNumberFormat="1" applyFont="1" applyBorder="1" applyAlignment="1">
      <alignment horizontal="center" vertical="center"/>
    </xf>
    <xf numFmtId="165" fontId="3" fillId="0" borderId="3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1000"/>
  <sheetViews>
    <sheetView topLeftCell="A52" zoomScaleNormal="100" workbookViewId="0">
      <selection activeCell="B79" sqref="B79"/>
    </sheetView>
  </sheetViews>
  <sheetFormatPr defaultColWidth="14.44140625" defaultRowHeight="15" customHeight="1"/>
  <cols>
    <col min="1" max="1" width="8.6640625" customWidth="1"/>
    <col min="2" max="2" width="14.33203125" customWidth="1"/>
    <col min="3" max="3" width="12.33203125" customWidth="1"/>
    <col min="4" max="4" width="12.5546875" customWidth="1"/>
    <col min="5" max="5" width="8.6640625" customWidth="1"/>
    <col min="6" max="6" width="12.33203125" customWidth="1"/>
    <col min="7" max="26" width="8.6640625" customWidth="1"/>
  </cols>
  <sheetData>
    <row r="1" spans="2:9" ht="14.25" customHeight="1"/>
    <row r="2" spans="2:9" ht="14.25" customHeight="1"/>
    <row r="3" spans="2:9" ht="14.25" customHeight="1">
      <c r="B3" s="30" t="s">
        <v>0</v>
      </c>
      <c r="C3" s="26"/>
      <c r="D3" s="26"/>
      <c r="E3" s="26"/>
      <c r="F3" s="26"/>
      <c r="G3" s="26"/>
      <c r="H3" s="26"/>
    </row>
    <row r="4" spans="2:9" ht="14.25" customHeight="1"/>
    <row r="5" spans="2:9" ht="14.25" customHeight="1">
      <c r="B5" s="1" t="s">
        <v>1</v>
      </c>
    </row>
    <row r="6" spans="2:9" ht="14.25" customHeight="1"/>
    <row r="7" spans="2:9" ht="14.25" customHeight="1">
      <c r="B7" s="2" t="s">
        <v>2</v>
      </c>
      <c r="C7" s="2" t="s">
        <v>3</v>
      </c>
      <c r="D7" s="2" t="s">
        <v>4</v>
      </c>
      <c r="E7" s="2" t="s">
        <v>5</v>
      </c>
      <c r="F7" s="2" t="s">
        <v>6</v>
      </c>
      <c r="G7" s="2" t="s">
        <v>7</v>
      </c>
      <c r="I7" s="21"/>
    </row>
    <row r="8" spans="2:9" ht="14.25" customHeight="1">
      <c r="B8" s="3">
        <v>1</v>
      </c>
      <c r="C8" s="3" t="s">
        <v>8</v>
      </c>
      <c r="D8" s="3" t="s">
        <v>9</v>
      </c>
      <c r="E8" s="3" t="s">
        <v>10</v>
      </c>
      <c r="F8" s="3" t="s">
        <v>11</v>
      </c>
      <c r="G8" s="3" t="s">
        <v>12</v>
      </c>
      <c r="I8" s="22"/>
    </row>
    <row r="9" spans="2:9" ht="14.25" customHeight="1">
      <c r="B9" s="3">
        <v>2</v>
      </c>
      <c r="C9" s="3" t="s">
        <v>8</v>
      </c>
      <c r="D9" s="3" t="s">
        <v>9</v>
      </c>
      <c r="E9" s="3" t="s">
        <v>10</v>
      </c>
      <c r="F9" s="3" t="s">
        <v>13</v>
      </c>
      <c r="G9" s="3" t="s">
        <v>12</v>
      </c>
    </row>
    <row r="10" spans="2:9" ht="14.25" customHeight="1">
      <c r="B10" s="3">
        <v>3</v>
      </c>
      <c r="C10" s="3" t="s">
        <v>14</v>
      </c>
      <c r="D10" s="3" t="s">
        <v>9</v>
      </c>
      <c r="E10" s="3" t="s">
        <v>10</v>
      </c>
      <c r="F10" s="3" t="s">
        <v>11</v>
      </c>
      <c r="G10" s="3" t="s">
        <v>15</v>
      </c>
    </row>
    <row r="11" spans="2:9" ht="14.25" customHeight="1">
      <c r="B11" s="3">
        <v>4</v>
      </c>
      <c r="C11" s="3" t="s">
        <v>16</v>
      </c>
      <c r="D11" s="3" t="s">
        <v>17</v>
      </c>
      <c r="E11" s="3" t="s">
        <v>10</v>
      </c>
      <c r="F11" s="3" t="s">
        <v>11</v>
      </c>
      <c r="G11" s="3" t="s">
        <v>15</v>
      </c>
    </row>
    <row r="12" spans="2:9" ht="14.25" customHeight="1">
      <c r="B12" s="3">
        <v>5</v>
      </c>
      <c r="C12" s="3" t="s">
        <v>16</v>
      </c>
      <c r="D12" s="3" t="s">
        <v>18</v>
      </c>
      <c r="E12" s="3" t="s">
        <v>19</v>
      </c>
      <c r="F12" s="3" t="s">
        <v>11</v>
      </c>
      <c r="G12" s="3" t="s">
        <v>15</v>
      </c>
    </row>
    <row r="13" spans="2:9" ht="14.25" customHeight="1">
      <c r="B13" s="3">
        <v>6</v>
      </c>
      <c r="C13" s="3" t="s">
        <v>16</v>
      </c>
      <c r="D13" s="3" t="s">
        <v>18</v>
      </c>
      <c r="E13" s="3" t="s">
        <v>19</v>
      </c>
      <c r="F13" s="3" t="s">
        <v>13</v>
      </c>
      <c r="G13" s="3" t="s">
        <v>12</v>
      </c>
    </row>
    <row r="14" spans="2:9" ht="14.25" customHeight="1">
      <c r="B14" s="3">
        <v>7</v>
      </c>
      <c r="C14" s="3" t="s">
        <v>14</v>
      </c>
      <c r="D14" s="3" t="s">
        <v>20</v>
      </c>
      <c r="E14" s="3" t="s">
        <v>19</v>
      </c>
      <c r="F14" s="3" t="s">
        <v>13</v>
      </c>
      <c r="G14" s="3" t="s">
        <v>15</v>
      </c>
    </row>
    <row r="15" spans="2:9" ht="14.25" customHeight="1"/>
    <row r="16" spans="2:9" ht="14.25" customHeight="1"/>
    <row r="17" spans="2:8" ht="14.25" customHeight="1">
      <c r="B17" s="1" t="s">
        <v>21</v>
      </c>
    </row>
    <row r="18" spans="2:8" ht="14.25" customHeight="1"/>
    <row r="19" spans="2:8" ht="14.25" customHeight="1">
      <c r="B19" s="4" t="s">
        <v>22</v>
      </c>
      <c r="C19" s="5">
        <f>4/7</f>
        <v>0.5714285714285714</v>
      </c>
    </row>
    <row r="20" spans="2:8" ht="14.25" customHeight="1">
      <c r="B20" s="4" t="s">
        <v>23</v>
      </c>
      <c r="C20" s="5">
        <f>3/7</f>
        <v>0.42857142857142855</v>
      </c>
    </row>
    <row r="21" spans="2:8" ht="14.25" customHeight="1"/>
    <row r="22" spans="2:8" ht="14.25" customHeight="1"/>
    <row r="23" spans="2:8" ht="14.25" customHeight="1">
      <c r="B23" s="1" t="s">
        <v>24</v>
      </c>
    </row>
    <row r="24" spans="2:8" ht="14.25" customHeight="1">
      <c r="B24" s="31" t="s">
        <v>25</v>
      </c>
      <c r="C24" s="26"/>
      <c r="D24" s="26"/>
      <c r="E24" s="26"/>
      <c r="F24" s="26"/>
      <c r="G24" s="26"/>
    </row>
    <row r="25" spans="2:8" ht="14.25" customHeight="1">
      <c r="B25" s="26"/>
      <c r="C25" s="26"/>
      <c r="D25" s="26"/>
      <c r="E25" s="26"/>
      <c r="F25" s="26"/>
      <c r="G25" s="26"/>
    </row>
    <row r="26" spans="2:8" ht="14.25" customHeight="1">
      <c r="B26" s="6"/>
      <c r="C26" s="6"/>
      <c r="D26" s="6"/>
      <c r="E26" s="6"/>
      <c r="F26" s="6"/>
      <c r="G26" s="6"/>
    </row>
    <row r="27" spans="2:8" ht="14.25" customHeight="1">
      <c r="B27" s="6"/>
      <c r="C27" s="6"/>
      <c r="D27" s="6"/>
      <c r="E27" s="6"/>
      <c r="F27" s="6"/>
      <c r="G27" s="6"/>
    </row>
    <row r="28" spans="2:8" ht="14.25" customHeight="1"/>
    <row r="29" spans="2:8" ht="14.25" customHeight="1">
      <c r="B29" s="4" t="s">
        <v>26</v>
      </c>
      <c r="F29" s="4" t="s">
        <v>27</v>
      </c>
    </row>
    <row r="30" spans="2:8" ht="14.25" customHeight="1"/>
    <row r="31" spans="2:8" ht="14.25" customHeight="1">
      <c r="B31" s="3" t="s">
        <v>3</v>
      </c>
      <c r="C31" s="3" t="s">
        <v>28</v>
      </c>
      <c r="D31" s="3" t="s">
        <v>29</v>
      </c>
      <c r="F31" s="3" t="s">
        <v>4</v>
      </c>
      <c r="G31" s="3" t="s">
        <v>28</v>
      </c>
      <c r="H31" s="3" t="s">
        <v>29</v>
      </c>
    </row>
    <row r="32" spans="2:8" ht="14.25" customHeight="1">
      <c r="B32" s="3" t="s">
        <v>8</v>
      </c>
      <c r="C32" s="3">
        <v>0</v>
      </c>
      <c r="D32" s="3">
        <v>2</v>
      </c>
      <c r="F32" s="7" t="s">
        <v>9</v>
      </c>
      <c r="G32" s="7">
        <v>1</v>
      </c>
      <c r="H32" s="7">
        <v>2</v>
      </c>
    </row>
    <row r="33" spans="2:8" ht="14.25" customHeight="1">
      <c r="B33" s="3" t="s">
        <v>16</v>
      </c>
      <c r="C33" s="3">
        <v>2</v>
      </c>
      <c r="D33" s="3">
        <v>1</v>
      </c>
      <c r="F33" s="7" t="s">
        <v>17</v>
      </c>
      <c r="G33" s="7">
        <v>1</v>
      </c>
      <c r="H33" s="7">
        <v>0</v>
      </c>
    </row>
    <row r="34" spans="2:8" ht="14.25" customHeight="1">
      <c r="B34" s="3" t="s">
        <v>14</v>
      </c>
      <c r="C34" s="3">
        <v>2</v>
      </c>
      <c r="D34" s="3">
        <v>0</v>
      </c>
      <c r="F34" s="7" t="s">
        <v>18</v>
      </c>
      <c r="G34" s="7">
        <v>2</v>
      </c>
      <c r="H34" s="7">
        <v>1</v>
      </c>
    </row>
    <row r="35" spans="2:8" ht="14.25" customHeight="1"/>
    <row r="36" spans="2:8" ht="14.25" customHeight="1"/>
    <row r="37" spans="2:8" ht="14.25" customHeight="1">
      <c r="B37" s="8" t="s">
        <v>30</v>
      </c>
      <c r="F37" s="4" t="s">
        <v>31</v>
      </c>
    </row>
    <row r="38" spans="2:8" ht="14.25" customHeight="1"/>
    <row r="39" spans="2:8" ht="14.25" customHeight="1">
      <c r="B39" s="7" t="s">
        <v>5</v>
      </c>
      <c r="C39" s="7" t="s">
        <v>28</v>
      </c>
      <c r="D39" s="7" t="s">
        <v>29</v>
      </c>
      <c r="F39" s="7" t="s">
        <v>6</v>
      </c>
      <c r="G39" s="7" t="s">
        <v>28</v>
      </c>
      <c r="H39" s="7" t="s">
        <v>29</v>
      </c>
    </row>
    <row r="40" spans="2:8" ht="14.25" customHeight="1">
      <c r="B40" s="7" t="s">
        <v>10</v>
      </c>
      <c r="C40" s="7">
        <v>2</v>
      </c>
      <c r="D40" s="7">
        <v>2</v>
      </c>
      <c r="F40" s="7" t="s">
        <v>11</v>
      </c>
      <c r="G40" s="7">
        <v>3</v>
      </c>
      <c r="H40" s="7">
        <v>1</v>
      </c>
    </row>
    <row r="41" spans="2:8" ht="14.25" customHeight="1">
      <c r="B41" s="7" t="s">
        <v>19</v>
      </c>
      <c r="C41" s="7">
        <v>2</v>
      </c>
      <c r="D41" s="7">
        <v>1</v>
      </c>
      <c r="F41" s="7" t="s">
        <v>13</v>
      </c>
      <c r="G41" s="7">
        <v>1</v>
      </c>
      <c r="H41" s="7">
        <v>2</v>
      </c>
    </row>
    <row r="42" spans="2:8" ht="14.25" customHeight="1"/>
    <row r="43" spans="2:8" ht="14.25" customHeight="1"/>
    <row r="44" spans="2:8" ht="14.25" customHeight="1"/>
    <row r="45" spans="2:8" ht="14.25" customHeight="1">
      <c r="B45" s="1" t="s">
        <v>32</v>
      </c>
    </row>
    <row r="46" spans="2:8" ht="14.25" customHeight="1">
      <c r="B46" s="4" t="s">
        <v>33</v>
      </c>
    </row>
    <row r="47" spans="2:8" ht="14.25" customHeight="1">
      <c r="B47" s="32" t="s">
        <v>34</v>
      </c>
      <c r="C47" s="26"/>
      <c r="D47" s="26"/>
      <c r="E47" s="26"/>
      <c r="F47" s="26"/>
      <c r="G47" s="26"/>
    </row>
    <row r="48" spans="2:8" ht="14.25" customHeight="1"/>
    <row r="49" spans="2:8" ht="14.25" customHeight="1">
      <c r="B49" s="1" t="s">
        <v>35</v>
      </c>
      <c r="C49" s="1"/>
      <c r="D49" s="1"/>
      <c r="E49" s="1"/>
      <c r="F49" s="1"/>
      <c r="G49" s="1"/>
      <c r="H49" s="1"/>
    </row>
    <row r="50" spans="2:8" ht="14.25" customHeight="1">
      <c r="B50" s="1" t="s">
        <v>36</v>
      </c>
      <c r="C50" s="1"/>
      <c r="D50" s="1"/>
      <c r="E50" s="1"/>
      <c r="F50" s="1"/>
      <c r="G50" s="1"/>
      <c r="H50" s="1"/>
    </row>
    <row r="51" spans="2:8" ht="14.25" customHeight="1"/>
    <row r="52" spans="2:8" ht="14.25" customHeight="1">
      <c r="B52" s="4" t="s">
        <v>37</v>
      </c>
      <c r="C52" s="5">
        <f>4/7</f>
        <v>0.5714285714285714</v>
      </c>
    </row>
    <row r="53" spans="2:8" ht="14.25" customHeight="1">
      <c r="B53" s="4" t="s">
        <v>38</v>
      </c>
      <c r="C53" s="4">
        <f>0/4</f>
        <v>0</v>
      </c>
      <c r="D53" s="25" t="s">
        <v>39</v>
      </c>
      <c r="E53" s="26"/>
      <c r="F53" s="26"/>
      <c r="G53" s="26"/>
      <c r="H53" s="5">
        <f>1/7</f>
        <v>0.14285714285714285</v>
      </c>
    </row>
    <row r="54" spans="2:8" ht="14.25" customHeight="1">
      <c r="B54" s="4" t="s">
        <v>40</v>
      </c>
      <c r="C54" s="9">
        <f t="shared" ref="C54:C55" si="0">2/4</f>
        <v>0.5</v>
      </c>
    </row>
    <row r="55" spans="2:8" ht="14.25" customHeight="1">
      <c r="B55" s="4" t="s">
        <v>41</v>
      </c>
      <c r="C55" s="9">
        <f t="shared" si="0"/>
        <v>0.5</v>
      </c>
    </row>
    <row r="56" spans="2:8" ht="14.25" customHeight="1">
      <c r="B56" s="4" t="s">
        <v>42</v>
      </c>
      <c r="C56" s="5">
        <f>1/4</f>
        <v>0.25</v>
      </c>
    </row>
    <row r="57" spans="2:8" ht="14.25" customHeight="1"/>
    <row r="58" spans="2:8" ht="14.25" customHeight="1">
      <c r="B58" s="4" t="s">
        <v>43</v>
      </c>
      <c r="C58" s="10">
        <f>C52*H53*C54*C55*C56</f>
        <v>5.1020408163265302E-3</v>
      </c>
    </row>
    <row r="59" spans="2:8" ht="14.25" customHeight="1"/>
    <row r="60" spans="2:8" ht="14.25" customHeight="1"/>
    <row r="61" spans="2:8" ht="14.25" customHeight="1">
      <c r="B61" s="1" t="s">
        <v>44</v>
      </c>
      <c r="C61" s="1"/>
      <c r="D61" s="1"/>
      <c r="E61" s="1"/>
      <c r="F61" s="1"/>
      <c r="G61" s="1"/>
    </row>
    <row r="62" spans="2:8" ht="14.25" customHeight="1"/>
    <row r="63" spans="2:8" ht="14.25" customHeight="1">
      <c r="B63" s="4" t="s">
        <v>45</v>
      </c>
      <c r="C63" s="5">
        <f>3/7</f>
        <v>0.42857142857142855</v>
      </c>
    </row>
    <row r="64" spans="2:8" ht="14.25" customHeight="1">
      <c r="B64" s="4" t="s">
        <v>46</v>
      </c>
      <c r="C64" s="5">
        <f>2/3</f>
        <v>0.66666666666666663</v>
      </c>
    </row>
    <row r="65" spans="2:7" ht="14.25" customHeight="1">
      <c r="B65" s="4" t="s">
        <v>47</v>
      </c>
      <c r="C65" s="5">
        <v>0.33333333333333331</v>
      </c>
    </row>
    <row r="66" spans="2:7" ht="14.25" customHeight="1">
      <c r="B66" s="4" t="s">
        <v>48</v>
      </c>
      <c r="C66" s="5">
        <v>0.66666666666666663</v>
      </c>
    </row>
    <row r="67" spans="2:7" ht="14.25" customHeight="1">
      <c r="B67" s="4" t="s">
        <v>49</v>
      </c>
      <c r="C67" s="5">
        <v>0.66666666666666663</v>
      </c>
    </row>
    <row r="68" spans="2:7" ht="14.25" customHeight="1"/>
    <row r="69" spans="2:7" ht="14.25" customHeight="1">
      <c r="B69" s="4" t="s">
        <v>50</v>
      </c>
      <c r="C69" s="10">
        <f>C63*C64*C65*C66*C67</f>
        <v>4.2328042328042326E-2</v>
      </c>
    </row>
    <row r="70" spans="2:7" ht="14.25" customHeight="1"/>
    <row r="71" spans="2:7" ht="14.25" customHeight="1">
      <c r="B71" s="1" t="s">
        <v>51</v>
      </c>
    </row>
    <row r="72" spans="2:7" ht="14.25" customHeight="1"/>
    <row r="73" spans="2:7" ht="14.25" customHeight="1">
      <c r="B73" s="11" t="s">
        <v>52</v>
      </c>
    </row>
    <row r="74" spans="2:7" ht="14.25" customHeight="1"/>
    <row r="75" spans="2:7" ht="14.25" customHeight="1">
      <c r="B75" s="4" t="s">
        <v>53</v>
      </c>
    </row>
    <row r="76" spans="2:7" ht="14.25" customHeight="1">
      <c r="B76" s="12"/>
      <c r="C76" s="1"/>
      <c r="D76" s="1"/>
      <c r="E76" s="1"/>
      <c r="F76" s="1"/>
      <c r="G76" s="1"/>
    </row>
    <row r="77" spans="2:7" ht="14.25" customHeight="1">
      <c r="B77" s="13" t="s">
        <v>54</v>
      </c>
    </row>
    <row r="78" spans="2:7" ht="14.25" customHeight="1"/>
    <row r="79" spans="2:7" ht="14.25" customHeight="1">
      <c r="B79" s="4" t="s">
        <v>55</v>
      </c>
    </row>
    <row r="80" spans="2:7" ht="14.25" customHeight="1"/>
    <row r="81" spans="4:4" ht="14.25" customHeight="1">
      <c r="D81" s="14"/>
    </row>
    <row r="82" spans="4:4" ht="14.25" customHeight="1">
      <c r="D82" s="15"/>
    </row>
    <row r="83" spans="4:4" ht="14.25" customHeight="1"/>
    <row r="84" spans="4:4" ht="14.25" customHeight="1"/>
    <row r="85" spans="4:4" ht="14.25" customHeight="1"/>
    <row r="86" spans="4:4" ht="14.25" customHeight="1"/>
    <row r="87" spans="4:4" ht="14.25" customHeight="1"/>
    <row r="88" spans="4:4" ht="14.25" customHeight="1"/>
    <row r="89" spans="4:4" ht="14.25" customHeight="1"/>
    <row r="90" spans="4:4" ht="14.25" customHeight="1"/>
    <row r="91" spans="4:4" ht="14.25" customHeight="1"/>
    <row r="92" spans="4:4" ht="14.25" customHeight="1"/>
    <row r="93" spans="4:4" ht="14.25" customHeight="1"/>
    <row r="94" spans="4:4" ht="14.25" customHeight="1"/>
    <row r="95" spans="4:4" ht="14.25" customHeight="1"/>
    <row r="96" spans="4:4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">
    <mergeCell ref="B3:H3"/>
    <mergeCell ref="B24:G25"/>
    <mergeCell ref="B47:G47"/>
    <mergeCell ref="D53:G53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C1:V1000"/>
  <sheetViews>
    <sheetView tabSelected="1" topLeftCell="A30" zoomScale="145" zoomScaleNormal="145" workbookViewId="0">
      <selection activeCell="D44" sqref="D44"/>
    </sheetView>
  </sheetViews>
  <sheetFormatPr defaultColWidth="14.44140625" defaultRowHeight="15" customHeight="1"/>
  <cols>
    <col min="1" max="2" width="8.6640625" customWidth="1"/>
    <col min="3" max="3" width="19.44140625" bestFit="1" customWidth="1"/>
    <col min="4" max="4" width="11.77734375" customWidth="1"/>
    <col min="5" max="5" width="13.109375" customWidth="1"/>
    <col min="6" max="13" width="8.6640625" customWidth="1"/>
    <col min="14" max="14" width="11.5546875" bestFit="1" customWidth="1"/>
    <col min="15" max="26" width="8.6640625" customWidth="1"/>
  </cols>
  <sheetData>
    <row r="1" spans="3:16" ht="14.25" customHeight="1"/>
    <row r="2" spans="3:16" ht="14.25" customHeight="1">
      <c r="C2" s="27" t="s">
        <v>56</v>
      </c>
      <c r="D2" s="26"/>
      <c r="E2" s="26"/>
      <c r="F2" s="26"/>
      <c r="G2" s="26"/>
      <c r="H2" s="26"/>
    </row>
    <row r="3" spans="3:16" ht="14.25" customHeight="1"/>
    <row r="4" spans="3:16" ht="14.25" customHeight="1">
      <c r="C4" s="4" t="s">
        <v>57</v>
      </c>
      <c r="D4" s="29" t="s">
        <v>78</v>
      </c>
      <c r="E4" s="29"/>
      <c r="F4" s="29"/>
      <c r="G4" s="29"/>
    </row>
    <row r="5" spans="3:16" ht="14.25" customHeight="1">
      <c r="C5" s="4" t="s">
        <v>58</v>
      </c>
      <c r="D5" s="29">
        <v>4222311024</v>
      </c>
      <c r="E5" s="29"/>
      <c r="F5" s="29"/>
      <c r="G5" s="29"/>
    </row>
    <row r="6" spans="3:16" ht="14.25" customHeight="1">
      <c r="C6" s="4" t="s">
        <v>59</v>
      </c>
      <c r="D6" s="29" t="s">
        <v>79</v>
      </c>
      <c r="E6" s="29"/>
      <c r="F6" s="29"/>
      <c r="G6" s="29"/>
    </row>
    <row r="7" spans="3:16" ht="14.25" customHeight="1"/>
    <row r="8" spans="3:16" ht="14.25" customHeight="1">
      <c r="C8" s="1" t="s">
        <v>60</v>
      </c>
    </row>
    <row r="9" spans="3:16" ht="14.25" customHeight="1"/>
    <row r="10" spans="3:16" ht="14.25" customHeight="1">
      <c r="C10" s="16" t="s">
        <v>2</v>
      </c>
      <c r="D10" s="16" t="s">
        <v>3</v>
      </c>
      <c r="E10" s="16" t="s">
        <v>4</v>
      </c>
      <c r="F10" s="16" t="s">
        <v>5</v>
      </c>
      <c r="G10" s="16" t="s">
        <v>6</v>
      </c>
      <c r="H10" s="16" t="s">
        <v>7</v>
      </c>
    </row>
    <row r="11" spans="3:16" ht="14.25" customHeight="1">
      <c r="C11" s="17">
        <v>1</v>
      </c>
      <c r="D11" s="17" t="s">
        <v>8</v>
      </c>
      <c r="E11" s="17" t="s">
        <v>9</v>
      </c>
      <c r="F11" s="17" t="s">
        <v>10</v>
      </c>
      <c r="G11" s="17" t="s">
        <v>11</v>
      </c>
      <c r="H11" s="17" t="s">
        <v>12</v>
      </c>
      <c r="J11" s="33" t="s">
        <v>22</v>
      </c>
      <c r="K11" s="34" t="s">
        <v>73</v>
      </c>
    </row>
    <row r="12" spans="3:16" ht="14.25" customHeight="1">
      <c r="C12" s="17">
        <v>2</v>
      </c>
      <c r="D12" s="17" t="s">
        <v>8</v>
      </c>
      <c r="E12" s="17" t="s">
        <v>9</v>
      </c>
      <c r="F12" s="17" t="s">
        <v>10</v>
      </c>
      <c r="G12" s="17" t="s">
        <v>13</v>
      </c>
      <c r="H12" s="17" t="s">
        <v>12</v>
      </c>
      <c r="J12" s="33" t="s">
        <v>23</v>
      </c>
      <c r="K12" s="34" t="s">
        <v>73</v>
      </c>
    </row>
    <row r="13" spans="3:16" ht="14.25" customHeight="1">
      <c r="C13" s="17">
        <v>3</v>
      </c>
      <c r="D13" s="17" t="s">
        <v>14</v>
      </c>
      <c r="E13" s="17" t="s">
        <v>9</v>
      </c>
      <c r="F13" s="17" t="s">
        <v>10</v>
      </c>
      <c r="G13" s="17" t="s">
        <v>11</v>
      </c>
      <c r="H13" s="17" t="s">
        <v>15</v>
      </c>
    </row>
    <row r="14" spans="3:16" ht="14.25" customHeight="1">
      <c r="C14" s="17">
        <v>4</v>
      </c>
      <c r="D14" s="17" t="s">
        <v>16</v>
      </c>
      <c r="E14" s="17" t="s">
        <v>17</v>
      </c>
      <c r="F14" s="17" t="s">
        <v>10</v>
      </c>
      <c r="G14" s="17" t="s">
        <v>11</v>
      </c>
      <c r="H14" s="17" t="s">
        <v>15</v>
      </c>
    </row>
    <row r="15" spans="3:16" ht="14.25" customHeight="1">
      <c r="C15" s="17">
        <v>5</v>
      </c>
      <c r="D15" s="17" t="s">
        <v>16</v>
      </c>
      <c r="E15" s="17" t="s">
        <v>18</v>
      </c>
      <c r="F15" s="17" t="s">
        <v>19</v>
      </c>
      <c r="G15" s="17" t="s">
        <v>11</v>
      </c>
      <c r="H15" s="17" t="s">
        <v>15</v>
      </c>
    </row>
    <row r="16" spans="3:16" ht="14.25" customHeight="1">
      <c r="C16" s="17">
        <v>6</v>
      </c>
      <c r="D16" s="17" t="s">
        <v>16</v>
      </c>
      <c r="E16" s="17" t="s">
        <v>18</v>
      </c>
      <c r="F16" s="17" t="s">
        <v>19</v>
      </c>
      <c r="G16" s="17" t="s">
        <v>13</v>
      </c>
      <c r="H16" s="17" t="s">
        <v>12</v>
      </c>
      <c r="J16" s="3" t="s">
        <v>3</v>
      </c>
      <c r="K16" s="3" t="s">
        <v>28</v>
      </c>
      <c r="L16" s="3" t="s">
        <v>72</v>
      </c>
      <c r="N16" s="23" t="s">
        <v>4</v>
      </c>
      <c r="O16" s="23" t="s">
        <v>28</v>
      </c>
      <c r="P16" s="23" t="s">
        <v>72</v>
      </c>
    </row>
    <row r="17" spans="3:22" ht="14.25" customHeight="1">
      <c r="C17" s="17">
        <v>7</v>
      </c>
      <c r="D17" s="17" t="s">
        <v>14</v>
      </c>
      <c r="E17" s="17" t="s">
        <v>20</v>
      </c>
      <c r="F17" s="17" t="s">
        <v>19</v>
      </c>
      <c r="G17" s="17" t="s">
        <v>13</v>
      </c>
      <c r="H17" s="17" t="s">
        <v>15</v>
      </c>
      <c r="J17" s="3" t="s">
        <v>8</v>
      </c>
      <c r="K17" s="3">
        <v>0</v>
      </c>
      <c r="L17" s="3">
        <v>3</v>
      </c>
      <c r="N17" s="24" t="s">
        <v>9</v>
      </c>
      <c r="O17" s="24">
        <v>1</v>
      </c>
      <c r="P17" s="24">
        <v>2</v>
      </c>
    </row>
    <row r="18" spans="3:22" ht="14.25" customHeight="1">
      <c r="C18" s="17">
        <v>8</v>
      </c>
      <c r="D18" s="17" t="s">
        <v>8</v>
      </c>
      <c r="E18" s="17" t="s">
        <v>17</v>
      </c>
      <c r="F18" s="17" t="s">
        <v>10</v>
      </c>
      <c r="G18" s="17" t="s">
        <v>11</v>
      </c>
      <c r="H18" s="17" t="s">
        <v>12</v>
      </c>
      <c r="J18" s="3" t="s">
        <v>16</v>
      </c>
      <c r="K18" s="3">
        <v>2</v>
      </c>
      <c r="L18" s="3">
        <v>1</v>
      </c>
      <c r="N18" s="24" t="s">
        <v>17</v>
      </c>
      <c r="O18" s="24">
        <v>1</v>
      </c>
      <c r="P18" s="24">
        <v>1</v>
      </c>
    </row>
    <row r="19" spans="3:22" ht="14.25" customHeight="1">
      <c r="J19" s="3" t="s">
        <v>14</v>
      </c>
      <c r="K19" s="3">
        <v>2</v>
      </c>
      <c r="L19" s="3">
        <v>0</v>
      </c>
      <c r="N19" s="24" t="s">
        <v>18</v>
      </c>
      <c r="O19" s="24">
        <v>2</v>
      </c>
      <c r="P19" s="24">
        <v>1</v>
      </c>
    </row>
    <row r="20" spans="3:22" ht="14.25" customHeight="1"/>
    <row r="21" spans="3:22" ht="14.25" customHeight="1">
      <c r="C21" s="18" t="s">
        <v>61</v>
      </c>
      <c r="D21" s="19"/>
    </row>
    <row r="22" spans="3:22" ht="14.25" customHeight="1">
      <c r="C22" s="28" t="s">
        <v>62</v>
      </c>
      <c r="D22" s="26"/>
      <c r="E22" s="26"/>
      <c r="F22" s="26"/>
      <c r="G22" s="26"/>
      <c r="H22" s="26"/>
      <c r="J22" s="7" t="s">
        <v>5</v>
      </c>
      <c r="K22" s="7" t="s">
        <v>28</v>
      </c>
      <c r="L22" s="7" t="s">
        <v>72</v>
      </c>
      <c r="N22" s="24" t="s">
        <v>6</v>
      </c>
      <c r="O22" s="24" t="s">
        <v>28</v>
      </c>
      <c r="P22" s="24" t="s">
        <v>72</v>
      </c>
    </row>
    <row r="23" spans="3:22" ht="14.25" customHeight="1">
      <c r="C23" s="26"/>
      <c r="D23" s="26"/>
      <c r="E23" s="26"/>
      <c r="F23" s="26"/>
      <c r="G23" s="26"/>
      <c r="H23" s="26"/>
      <c r="J23" s="7" t="s">
        <v>10</v>
      </c>
      <c r="K23" s="7">
        <v>2</v>
      </c>
      <c r="L23" s="7">
        <v>3</v>
      </c>
      <c r="N23" s="24" t="s">
        <v>11</v>
      </c>
      <c r="O23" s="24">
        <v>3</v>
      </c>
      <c r="P23" s="24">
        <v>2</v>
      </c>
    </row>
    <row r="24" spans="3:22" ht="14.25" customHeight="1">
      <c r="C24" s="26"/>
      <c r="D24" s="26"/>
      <c r="E24" s="26"/>
      <c r="F24" s="26"/>
      <c r="G24" s="26"/>
      <c r="H24" s="26"/>
      <c r="J24" s="7" t="s">
        <v>19</v>
      </c>
      <c r="K24" s="7">
        <v>2</v>
      </c>
      <c r="L24" s="7">
        <v>1</v>
      </c>
      <c r="N24" s="24" t="s">
        <v>13</v>
      </c>
      <c r="O24" s="24">
        <v>1</v>
      </c>
      <c r="P24" s="24">
        <v>2</v>
      </c>
    </row>
    <row r="25" spans="3:22" ht="14.25" customHeight="1">
      <c r="C25" s="20" t="s">
        <v>63</v>
      </c>
      <c r="D25" s="20"/>
    </row>
    <row r="26" spans="3:22" ht="14.25" customHeight="1">
      <c r="C26" s="20" t="s">
        <v>64</v>
      </c>
      <c r="D26" s="20"/>
    </row>
    <row r="27" spans="3:22" ht="14.25" customHeight="1">
      <c r="C27" s="20" t="s">
        <v>65</v>
      </c>
      <c r="D27" s="20"/>
      <c r="R27" s="19" t="s">
        <v>67</v>
      </c>
      <c r="S27" s="20"/>
      <c r="T27" s="20"/>
      <c r="U27" s="20"/>
      <c r="V27" s="20"/>
    </row>
    <row r="28" spans="3:22" ht="14.25" customHeight="1">
      <c r="C28" s="20" t="s">
        <v>66</v>
      </c>
      <c r="D28" s="20"/>
      <c r="R28" s="20" t="s">
        <v>68</v>
      </c>
      <c r="S28" s="20"/>
      <c r="T28" s="20"/>
      <c r="U28" s="20"/>
      <c r="V28" s="20"/>
    </row>
    <row r="29" spans="3:22" ht="14.25" customHeight="1">
      <c r="R29" s="20" t="s">
        <v>69</v>
      </c>
      <c r="S29" s="20"/>
      <c r="T29" s="20"/>
      <c r="U29" s="20"/>
      <c r="V29" s="20"/>
    </row>
    <row r="30" spans="3:22" ht="14.25" customHeight="1">
      <c r="C30" s="33" t="s">
        <v>37</v>
      </c>
      <c r="D30" s="35">
        <f>4/8</f>
        <v>0.5</v>
      </c>
      <c r="H30" s="20"/>
      <c r="R30" s="20" t="s">
        <v>70</v>
      </c>
      <c r="S30" s="20"/>
      <c r="T30" s="20"/>
      <c r="U30" s="20"/>
      <c r="V30" s="20"/>
    </row>
    <row r="31" spans="3:22" ht="14.25" customHeight="1">
      <c r="C31" s="33" t="s">
        <v>38</v>
      </c>
      <c r="D31" s="36">
        <f>0/4</f>
        <v>0</v>
      </c>
      <c r="E31" s="25" t="s">
        <v>77</v>
      </c>
      <c r="F31" s="26"/>
      <c r="G31" s="26"/>
      <c r="H31" s="26"/>
      <c r="I31" s="5">
        <f>1/8</f>
        <v>0.125</v>
      </c>
      <c r="R31" s="20" t="s">
        <v>71</v>
      </c>
      <c r="S31" s="20"/>
      <c r="T31" s="20"/>
      <c r="U31" s="20"/>
      <c r="V31" s="20"/>
    </row>
    <row r="32" spans="3:22" ht="14.25" customHeight="1">
      <c r="C32" s="33" t="s">
        <v>40</v>
      </c>
      <c r="D32" s="37">
        <f>2/4</f>
        <v>0.5</v>
      </c>
      <c r="H32" s="20"/>
    </row>
    <row r="33" spans="3:8" ht="14.25" customHeight="1">
      <c r="C33" s="33" t="s">
        <v>41</v>
      </c>
      <c r="D33" s="37">
        <f t="shared" ref="D33" si="0">2/4</f>
        <v>0.5</v>
      </c>
      <c r="H33" s="20"/>
    </row>
    <row r="34" spans="3:8" ht="14.25" customHeight="1">
      <c r="C34" s="33" t="s">
        <v>74</v>
      </c>
      <c r="D34" s="38">
        <f>3/4</f>
        <v>0.75</v>
      </c>
      <c r="H34" s="20"/>
    </row>
    <row r="35" spans="3:8" ht="14.25" customHeight="1">
      <c r="C35" s="33" t="s">
        <v>43</v>
      </c>
      <c r="D35" s="39">
        <f>D30*I31*D32*D33*D34</f>
        <v>1.171875E-2</v>
      </c>
    </row>
    <row r="36" spans="3:8" ht="14.25" customHeight="1"/>
    <row r="37" spans="3:8" ht="14.25" customHeight="1"/>
    <row r="38" spans="3:8" ht="14.25" customHeight="1">
      <c r="C38" s="1" t="s">
        <v>44</v>
      </c>
      <c r="D38" s="1"/>
      <c r="E38" s="1"/>
      <c r="F38" s="1"/>
      <c r="G38" s="1"/>
      <c r="H38" s="1"/>
    </row>
    <row r="39" spans="3:8" ht="14.25" customHeight="1"/>
    <row r="40" spans="3:8" ht="14.25" customHeight="1">
      <c r="C40" s="40" t="s">
        <v>45</v>
      </c>
      <c r="D40" s="41">
        <f>4/8</f>
        <v>0.5</v>
      </c>
    </row>
    <row r="41" spans="3:8" ht="14.25" customHeight="1">
      <c r="C41" s="40" t="s">
        <v>46</v>
      </c>
      <c r="D41" s="41">
        <f>3/4</f>
        <v>0.75</v>
      </c>
    </row>
    <row r="42" spans="3:8" ht="14.25" customHeight="1">
      <c r="C42" s="40" t="s">
        <v>47</v>
      </c>
      <c r="D42" s="41">
        <f>1/4</f>
        <v>0.25</v>
      </c>
    </row>
    <row r="43" spans="3:8" ht="14.25" customHeight="1">
      <c r="C43" s="40" t="s">
        <v>48</v>
      </c>
      <c r="D43" s="41">
        <f>3/4</f>
        <v>0.75</v>
      </c>
    </row>
    <row r="44" spans="3:8" ht="14.25" customHeight="1">
      <c r="C44" s="40" t="s">
        <v>75</v>
      </c>
      <c r="D44" s="41">
        <f>2/4</f>
        <v>0.5</v>
      </c>
    </row>
    <row r="45" spans="3:8" ht="14.25" customHeight="1">
      <c r="C45" s="40" t="s">
        <v>50</v>
      </c>
      <c r="D45" s="42">
        <f>D40*D41*D42*D43*D44</f>
        <v>3.515625E-2</v>
      </c>
    </row>
    <row r="46" spans="3:8" ht="14.25" customHeight="1"/>
    <row r="47" spans="3:8" ht="14.25" customHeight="1"/>
    <row r="48" spans="3:8" ht="14.25" customHeight="1">
      <c r="C48" s="1" t="s">
        <v>51</v>
      </c>
    </row>
    <row r="49" spans="3:8" ht="14.25" customHeight="1"/>
    <row r="50" spans="3:8" ht="14.25" customHeight="1">
      <c r="C50" s="11" t="s">
        <v>52</v>
      </c>
    </row>
    <row r="51" spans="3:8" ht="14.25" customHeight="1"/>
    <row r="52" spans="3:8" ht="14.25" customHeight="1">
      <c r="C52" s="4" t="s">
        <v>53</v>
      </c>
    </row>
    <row r="53" spans="3:8" ht="14.25" customHeight="1">
      <c r="C53" s="12"/>
      <c r="D53" s="1"/>
      <c r="E53" s="1"/>
      <c r="F53" s="1"/>
      <c r="G53" s="1"/>
      <c r="H53" s="1"/>
    </row>
    <row r="54" spans="3:8" ht="14.25" customHeight="1">
      <c r="C54" s="13" t="s">
        <v>76</v>
      </c>
    </row>
    <row r="55" spans="3:8" ht="14.25" customHeight="1"/>
    <row r="56" spans="3:8" ht="14.25" customHeight="1">
      <c r="C56" s="4" t="s">
        <v>55</v>
      </c>
    </row>
    <row r="57" spans="3:8" ht="14.25" customHeight="1"/>
    <row r="58" spans="3:8" ht="14.25" customHeight="1"/>
    <row r="59" spans="3:8" ht="14.25" customHeight="1"/>
    <row r="60" spans="3:8" ht="14.25" customHeight="1"/>
    <row r="61" spans="3:8" ht="14.25" customHeight="1"/>
    <row r="62" spans="3:8" ht="14.25" customHeight="1"/>
    <row r="63" spans="3:8" ht="14.25" customHeight="1"/>
    <row r="64" spans="3:8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6">
    <mergeCell ref="E31:H31"/>
    <mergeCell ref="C2:H2"/>
    <mergeCell ref="C22:H24"/>
    <mergeCell ref="D4:G4"/>
    <mergeCell ref="D5:G5"/>
    <mergeCell ref="D6:G6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2</vt:i4>
      </vt:variant>
    </vt:vector>
  </HeadingPairs>
  <TitlesOfParts>
    <vt:vector size="2" baseType="lpstr">
      <vt:lpstr>Data NB</vt:lpstr>
      <vt:lpstr>Quiz NB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 S I</dc:creator>
  <cp:lastModifiedBy>Roni Gunawan Muhammad</cp:lastModifiedBy>
  <dcterms:created xsi:type="dcterms:W3CDTF">2025-04-15T08:45:59Z</dcterms:created>
  <dcterms:modified xsi:type="dcterms:W3CDTF">2026-04-21T13:36:32Z</dcterms:modified>
</cp:coreProperties>
</file>