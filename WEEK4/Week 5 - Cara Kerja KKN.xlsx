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717F36F-1E72-4624-A7DC-B0C00D4DC8BA}" xr6:coauthVersionLast="47" xr6:coauthVersionMax="47" xr10:uidLastSave="{00000000-0000-0000-0000-000000000000}"/>
  <bookViews>
    <workbookView xWindow="-108" yWindow="-108" windowWidth="23256" windowHeight="12456" tabRatio="674" xr2:uid="{00000000-000D-0000-FFFF-FFFF00000000}"/>
  </bookViews>
  <sheets>
    <sheet name="Sheet1" sheetId="1" r:id="rId1"/>
    <sheet name="Sheet1 (2)" sheetId="2" r:id="rId2"/>
    <sheet name="Sheet1 (3)" sheetId="3" r:id="rId3"/>
    <sheet name="Sheet1 (4)" sheetId="4" r:id="rId4"/>
    <sheet name="Sheet1 (5)" sheetId="5" r:id="rId5"/>
  </sheets>
  <definedNames>
    <definedName name="_xlnm.Print_Area" localSheetId="0">Sheet1!$A$1:$AS$61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2JWmfzS08WmRCHUuT9UE0sF0Of3TcSqrLxnMObgYH8="/>
    </ext>
  </extLst>
</workbook>
</file>

<file path=xl/calcChain.xml><?xml version="1.0" encoding="utf-8"?>
<calcChain xmlns="http://schemas.openxmlformats.org/spreadsheetml/2006/main">
  <c r="AG57" i="5" l="1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I42" i="5"/>
  <c r="AH42" i="5"/>
  <c r="AG42" i="5"/>
  <c r="AI41" i="5"/>
  <c r="AH41" i="5"/>
  <c r="AG41" i="5"/>
  <c r="AI40" i="5"/>
  <c r="AH40" i="5"/>
  <c r="AG40" i="5"/>
  <c r="AI39" i="5"/>
  <c r="AH39" i="5"/>
  <c r="AG39" i="5"/>
  <c r="AI38" i="5"/>
  <c r="AH38" i="5"/>
  <c r="AG38" i="5"/>
  <c r="T37" i="5"/>
  <c r="L37" i="5"/>
  <c r="T36" i="5"/>
  <c r="L36" i="5"/>
  <c r="T35" i="5"/>
  <c r="L35" i="5"/>
  <c r="T34" i="5"/>
  <c r="L34" i="5"/>
  <c r="T33" i="5"/>
  <c r="L33" i="5"/>
  <c r="T32" i="5"/>
  <c r="L32" i="5"/>
  <c r="AJ31" i="5"/>
  <c r="AI31" i="5"/>
  <c r="AH31" i="5"/>
  <c r="AG31" i="5"/>
  <c r="T31" i="5"/>
  <c r="L31" i="5"/>
  <c r="AJ30" i="5"/>
  <c r="AI30" i="5"/>
  <c r="AH30" i="5"/>
  <c r="AG30" i="5"/>
  <c r="T30" i="5"/>
  <c r="L30" i="5"/>
  <c r="AJ29" i="5"/>
  <c r="AI29" i="5"/>
  <c r="AH29" i="5"/>
  <c r="AG29" i="5"/>
  <c r="T29" i="5"/>
  <c r="L29" i="5"/>
  <c r="AJ28" i="5"/>
  <c r="AI28" i="5"/>
  <c r="AH28" i="5"/>
  <c r="AG28" i="5"/>
  <c r="T28" i="5"/>
  <c r="L28" i="5"/>
  <c r="AJ27" i="5"/>
  <c r="AI27" i="5"/>
  <c r="AH27" i="5"/>
  <c r="AG27" i="5"/>
  <c r="T27" i="5"/>
  <c r="L27" i="5"/>
  <c r="AJ26" i="5"/>
  <c r="AI26" i="5"/>
  <c r="AH26" i="5"/>
  <c r="AG26" i="5"/>
  <c r="T26" i="5"/>
  <c r="L26" i="5"/>
  <c r="AJ25" i="5"/>
  <c r="AI25" i="5"/>
  <c r="AH25" i="5"/>
  <c r="AG25" i="5"/>
  <c r="T25" i="5"/>
  <c r="L25" i="5"/>
  <c r="AJ24" i="5"/>
  <c r="AI24" i="5"/>
  <c r="AH24" i="5"/>
  <c r="AG24" i="5"/>
  <c r="T24" i="5"/>
  <c r="L24" i="5"/>
  <c r="AJ23" i="5"/>
  <c r="AI23" i="5"/>
  <c r="AH23" i="5"/>
  <c r="AG23" i="5"/>
  <c r="T23" i="5"/>
  <c r="L23" i="5"/>
  <c r="AJ22" i="5"/>
  <c r="AI22" i="5"/>
  <c r="AH22" i="5"/>
  <c r="AG22" i="5"/>
  <c r="T22" i="5"/>
  <c r="L22" i="5"/>
  <c r="AJ21" i="5"/>
  <c r="AI21" i="5"/>
  <c r="AH21" i="5"/>
  <c r="AG21" i="5"/>
  <c r="T21" i="5"/>
  <c r="L21" i="5"/>
  <c r="AJ20" i="5"/>
  <c r="AI20" i="5"/>
  <c r="AH20" i="5"/>
  <c r="AG20" i="5"/>
  <c r="T20" i="5"/>
  <c r="L20" i="5"/>
  <c r="AJ19" i="5"/>
  <c r="AI19" i="5"/>
  <c r="AH19" i="5"/>
  <c r="AG19" i="5"/>
  <c r="T19" i="5"/>
  <c r="L19" i="5"/>
  <c r="AJ18" i="5"/>
  <c r="AI18" i="5"/>
  <c r="AH18" i="5"/>
  <c r="AG18" i="5"/>
  <c r="T18" i="5"/>
  <c r="L18" i="5"/>
  <c r="AJ17" i="5"/>
  <c r="AI17" i="5"/>
  <c r="AH17" i="5"/>
  <c r="AG17" i="5"/>
  <c r="AJ16" i="5"/>
  <c r="AI16" i="5"/>
  <c r="AH16" i="5"/>
  <c r="AG16" i="5"/>
  <c r="AJ15" i="5"/>
  <c r="AI15" i="5"/>
  <c r="AH15" i="5"/>
  <c r="AG15" i="5"/>
  <c r="AJ14" i="5"/>
  <c r="AI14" i="5"/>
  <c r="AH14" i="5"/>
  <c r="AG14" i="5"/>
  <c r="AJ13" i="5"/>
  <c r="AI13" i="5"/>
  <c r="AH13" i="5"/>
  <c r="AG13" i="5"/>
  <c r="AJ12" i="5"/>
  <c r="AI12" i="5"/>
  <c r="AH12" i="5"/>
  <c r="AG12" i="5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I42" i="4"/>
  <c r="AH42" i="4"/>
  <c r="AG42" i="4"/>
  <c r="AI41" i="4"/>
  <c r="AH41" i="4"/>
  <c r="AG41" i="4"/>
  <c r="AI40" i="4"/>
  <c r="AH40" i="4"/>
  <c r="AG40" i="4"/>
  <c r="AI39" i="4"/>
  <c r="AH39" i="4"/>
  <c r="AG39" i="4"/>
  <c r="AI38" i="4"/>
  <c r="AH38" i="4"/>
  <c r="AG38" i="4"/>
  <c r="T37" i="4"/>
  <c r="L37" i="4"/>
  <c r="T36" i="4"/>
  <c r="L36" i="4"/>
  <c r="T35" i="4"/>
  <c r="L35" i="4"/>
  <c r="T34" i="4"/>
  <c r="L34" i="4"/>
  <c r="T33" i="4"/>
  <c r="L33" i="4"/>
  <c r="T32" i="4"/>
  <c r="L32" i="4"/>
  <c r="AJ31" i="4"/>
  <c r="AI31" i="4"/>
  <c r="AH31" i="4"/>
  <c r="AG31" i="4"/>
  <c r="T31" i="4"/>
  <c r="L31" i="4"/>
  <c r="AJ30" i="4"/>
  <c r="AI30" i="4"/>
  <c r="AH30" i="4"/>
  <c r="AG30" i="4"/>
  <c r="T30" i="4"/>
  <c r="L30" i="4"/>
  <c r="AJ29" i="4"/>
  <c r="AI29" i="4"/>
  <c r="AH29" i="4"/>
  <c r="AG29" i="4"/>
  <c r="T29" i="4"/>
  <c r="L29" i="4"/>
  <c r="AJ28" i="4"/>
  <c r="AI28" i="4"/>
  <c r="AH28" i="4"/>
  <c r="AG28" i="4"/>
  <c r="T28" i="4"/>
  <c r="L28" i="4"/>
  <c r="AJ27" i="4"/>
  <c r="AI27" i="4"/>
  <c r="AH27" i="4"/>
  <c r="AG27" i="4"/>
  <c r="T27" i="4"/>
  <c r="L27" i="4"/>
  <c r="AJ26" i="4"/>
  <c r="AI26" i="4"/>
  <c r="AH26" i="4"/>
  <c r="AG26" i="4"/>
  <c r="T26" i="4"/>
  <c r="L26" i="4"/>
  <c r="AJ25" i="4"/>
  <c r="AI25" i="4"/>
  <c r="AH25" i="4"/>
  <c r="AG25" i="4"/>
  <c r="T25" i="4"/>
  <c r="L25" i="4"/>
  <c r="AJ24" i="4"/>
  <c r="AI24" i="4"/>
  <c r="AH24" i="4"/>
  <c r="AG24" i="4"/>
  <c r="T24" i="4"/>
  <c r="L24" i="4"/>
  <c r="AJ23" i="4"/>
  <c r="AI23" i="4"/>
  <c r="AH23" i="4"/>
  <c r="AG23" i="4"/>
  <c r="T23" i="4"/>
  <c r="L23" i="4"/>
  <c r="AJ22" i="4"/>
  <c r="AI22" i="4"/>
  <c r="AH22" i="4"/>
  <c r="AG22" i="4"/>
  <c r="T22" i="4"/>
  <c r="L22" i="4"/>
  <c r="AJ21" i="4"/>
  <c r="AI21" i="4"/>
  <c r="AH21" i="4"/>
  <c r="AG21" i="4"/>
  <c r="T21" i="4"/>
  <c r="L21" i="4"/>
  <c r="AJ20" i="4"/>
  <c r="AI20" i="4"/>
  <c r="AH20" i="4"/>
  <c r="AG20" i="4"/>
  <c r="T20" i="4"/>
  <c r="L20" i="4"/>
  <c r="AJ19" i="4"/>
  <c r="AI19" i="4"/>
  <c r="AH19" i="4"/>
  <c r="AG19" i="4"/>
  <c r="T19" i="4"/>
  <c r="L19" i="4"/>
  <c r="AJ18" i="4"/>
  <c r="AI18" i="4"/>
  <c r="AH18" i="4"/>
  <c r="AG18" i="4"/>
  <c r="T18" i="4"/>
  <c r="L18" i="4"/>
  <c r="AJ17" i="4"/>
  <c r="AI17" i="4"/>
  <c r="AH17" i="4"/>
  <c r="AG17" i="4"/>
  <c r="AJ16" i="4"/>
  <c r="AI16" i="4"/>
  <c r="AH16" i="4"/>
  <c r="AG16" i="4"/>
  <c r="AJ15" i="4"/>
  <c r="AI15" i="4"/>
  <c r="AH15" i="4"/>
  <c r="AG15" i="4"/>
  <c r="AJ14" i="4"/>
  <c r="AI14" i="4"/>
  <c r="AH14" i="4"/>
  <c r="AG14" i="4"/>
  <c r="AJ13" i="4"/>
  <c r="AI13" i="4"/>
  <c r="AH13" i="4"/>
  <c r="AG13" i="4"/>
  <c r="AJ12" i="4"/>
  <c r="AI12" i="4"/>
  <c r="AH12" i="4"/>
  <c r="AG12" i="4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I42" i="3"/>
  <c r="AH42" i="3"/>
  <c r="AG42" i="3"/>
  <c r="AI41" i="3"/>
  <c r="AH41" i="3"/>
  <c r="AG41" i="3"/>
  <c r="AI40" i="3"/>
  <c r="AH40" i="3"/>
  <c r="AG40" i="3"/>
  <c r="AI39" i="3"/>
  <c r="AH39" i="3"/>
  <c r="AG39" i="3"/>
  <c r="AI38" i="3"/>
  <c r="AH38" i="3"/>
  <c r="AG38" i="3"/>
  <c r="T37" i="3"/>
  <c r="L37" i="3"/>
  <c r="T36" i="3"/>
  <c r="L36" i="3"/>
  <c r="T35" i="3"/>
  <c r="L35" i="3"/>
  <c r="T34" i="3"/>
  <c r="L34" i="3"/>
  <c r="T33" i="3"/>
  <c r="L33" i="3"/>
  <c r="T32" i="3"/>
  <c r="L32" i="3"/>
  <c r="AJ31" i="3"/>
  <c r="AI31" i="3"/>
  <c r="AH31" i="3"/>
  <c r="AG31" i="3"/>
  <c r="T31" i="3"/>
  <c r="L31" i="3"/>
  <c r="AJ30" i="3"/>
  <c r="AI30" i="3"/>
  <c r="AH30" i="3"/>
  <c r="AG30" i="3"/>
  <c r="T30" i="3"/>
  <c r="L30" i="3"/>
  <c r="AJ29" i="3"/>
  <c r="AI29" i="3"/>
  <c r="AH29" i="3"/>
  <c r="AG29" i="3"/>
  <c r="T29" i="3"/>
  <c r="L29" i="3"/>
  <c r="AJ28" i="3"/>
  <c r="AI28" i="3"/>
  <c r="AH28" i="3"/>
  <c r="AG28" i="3"/>
  <c r="T28" i="3"/>
  <c r="L28" i="3"/>
  <c r="AJ27" i="3"/>
  <c r="AI27" i="3"/>
  <c r="AH27" i="3"/>
  <c r="AG27" i="3"/>
  <c r="T27" i="3"/>
  <c r="L27" i="3"/>
  <c r="AJ26" i="3"/>
  <c r="AI26" i="3"/>
  <c r="AH26" i="3"/>
  <c r="AG26" i="3"/>
  <c r="T26" i="3"/>
  <c r="L26" i="3"/>
  <c r="AJ25" i="3"/>
  <c r="AI25" i="3"/>
  <c r="AH25" i="3"/>
  <c r="AG25" i="3"/>
  <c r="T25" i="3"/>
  <c r="L25" i="3"/>
  <c r="AJ24" i="3"/>
  <c r="AI24" i="3"/>
  <c r="AH24" i="3"/>
  <c r="AG24" i="3"/>
  <c r="T24" i="3"/>
  <c r="L24" i="3"/>
  <c r="AJ23" i="3"/>
  <c r="AI23" i="3"/>
  <c r="AH23" i="3"/>
  <c r="AG23" i="3"/>
  <c r="T23" i="3"/>
  <c r="L23" i="3"/>
  <c r="AJ22" i="3"/>
  <c r="AI22" i="3"/>
  <c r="AH22" i="3"/>
  <c r="AG22" i="3"/>
  <c r="T22" i="3"/>
  <c r="L22" i="3"/>
  <c r="AJ21" i="3"/>
  <c r="AI21" i="3"/>
  <c r="AH21" i="3"/>
  <c r="AG21" i="3"/>
  <c r="T21" i="3"/>
  <c r="L21" i="3"/>
  <c r="AJ20" i="3"/>
  <c r="AI20" i="3"/>
  <c r="AH20" i="3"/>
  <c r="AG20" i="3"/>
  <c r="T20" i="3"/>
  <c r="L20" i="3"/>
  <c r="AJ19" i="3"/>
  <c r="AI19" i="3"/>
  <c r="AH19" i="3"/>
  <c r="AG19" i="3"/>
  <c r="T19" i="3"/>
  <c r="L19" i="3"/>
  <c r="AJ18" i="3"/>
  <c r="AI18" i="3"/>
  <c r="AH18" i="3"/>
  <c r="AG18" i="3"/>
  <c r="T18" i="3"/>
  <c r="L18" i="3"/>
  <c r="AJ17" i="3"/>
  <c r="AI17" i="3"/>
  <c r="AH17" i="3"/>
  <c r="AG17" i="3"/>
  <c r="AJ16" i="3"/>
  <c r="AI16" i="3"/>
  <c r="AH16" i="3"/>
  <c r="AG16" i="3"/>
  <c r="AJ15" i="3"/>
  <c r="AI15" i="3"/>
  <c r="AH15" i="3"/>
  <c r="AG15" i="3"/>
  <c r="AJ14" i="3"/>
  <c r="AI14" i="3"/>
  <c r="AH14" i="3"/>
  <c r="AG14" i="3"/>
  <c r="AJ13" i="3"/>
  <c r="AI13" i="3"/>
  <c r="AH13" i="3"/>
  <c r="AG13" i="3"/>
  <c r="AJ12" i="3"/>
  <c r="AI12" i="3"/>
  <c r="AH12" i="3"/>
  <c r="AG12" i="3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I42" i="2"/>
  <c r="AH42" i="2"/>
  <c r="AG42" i="2"/>
  <c r="AI41" i="2"/>
  <c r="AH41" i="2"/>
  <c r="AG41" i="2"/>
  <c r="AI40" i="2"/>
  <c r="AH40" i="2"/>
  <c r="AG40" i="2"/>
  <c r="AI39" i="2"/>
  <c r="AH39" i="2"/>
  <c r="AG39" i="2"/>
  <c r="AI38" i="2"/>
  <c r="AH38" i="2"/>
  <c r="AG38" i="2"/>
  <c r="T37" i="2"/>
  <c r="L37" i="2"/>
  <c r="T36" i="2"/>
  <c r="L36" i="2"/>
  <c r="T35" i="2"/>
  <c r="L35" i="2"/>
  <c r="T34" i="2"/>
  <c r="L34" i="2"/>
  <c r="T33" i="2"/>
  <c r="L33" i="2"/>
  <c r="T32" i="2"/>
  <c r="L32" i="2"/>
  <c r="AJ31" i="2"/>
  <c r="AI31" i="2"/>
  <c r="AH31" i="2"/>
  <c r="AG31" i="2"/>
  <c r="T31" i="2"/>
  <c r="L31" i="2"/>
  <c r="AJ30" i="2"/>
  <c r="AI30" i="2"/>
  <c r="AH30" i="2"/>
  <c r="AG30" i="2"/>
  <c r="T30" i="2"/>
  <c r="L30" i="2"/>
  <c r="AJ29" i="2"/>
  <c r="AI29" i="2"/>
  <c r="AH29" i="2"/>
  <c r="AG29" i="2"/>
  <c r="T29" i="2"/>
  <c r="L29" i="2"/>
  <c r="AJ28" i="2"/>
  <c r="AI28" i="2"/>
  <c r="AH28" i="2"/>
  <c r="AG28" i="2"/>
  <c r="T28" i="2"/>
  <c r="L28" i="2"/>
  <c r="AJ27" i="2"/>
  <c r="AI27" i="2"/>
  <c r="AH27" i="2"/>
  <c r="AG27" i="2"/>
  <c r="T27" i="2"/>
  <c r="L27" i="2"/>
  <c r="AJ26" i="2"/>
  <c r="AI26" i="2"/>
  <c r="AH26" i="2"/>
  <c r="AG26" i="2"/>
  <c r="T26" i="2"/>
  <c r="L26" i="2"/>
  <c r="AJ25" i="2"/>
  <c r="AI25" i="2"/>
  <c r="AH25" i="2"/>
  <c r="AG25" i="2"/>
  <c r="T25" i="2"/>
  <c r="L25" i="2"/>
  <c r="AJ24" i="2"/>
  <c r="AI24" i="2"/>
  <c r="AH24" i="2"/>
  <c r="AG24" i="2"/>
  <c r="T24" i="2"/>
  <c r="L24" i="2"/>
  <c r="AJ23" i="2"/>
  <c r="AI23" i="2"/>
  <c r="AH23" i="2"/>
  <c r="AG23" i="2"/>
  <c r="T23" i="2"/>
  <c r="L23" i="2"/>
  <c r="AJ22" i="2"/>
  <c r="AI22" i="2"/>
  <c r="AH22" i="2"/>
  <c r="AG22" i="2"/>
  <c r="T22" i="2"/>
  <c r="L22" i="2"/>
  <c r="AJ21" i="2"/>
  <c r="AI21" i="2"/>
  <c r="AH21" i="2"/>
  <c r="AG21" i="2"/>
  <c r="T21" i="2"/>
  <c r="L21" i="2"/>
  <c r="AJ20" i="2"/>
  <c r="AI20" i="2"/>
  <c r="AH20" i="2"/>
  <c r="AG20" i="2"/>
  <c r="T20" i="2"/>
  <c r="L20" i="2"/>
  <c r="AJ19" i="2"/>
  <c r="AI19" i="2"/>
  <c r="AH19" i="2"/>
  <c r="AG19" i="2"/>
  <c r="T19" i="2"/>
  <c r="L19" i="2"/>
  <c r="AJ18" i="2"/>
  <c r="AI18" i="2"/>
  <c r="AH18" i="2"/>
  <c r="AG18" i="2"/>
  <c r="T18" i="2"/>
  <c r="L18" i="2"/>
  <c r="AJ17" i="2"/>
  <c r="AI17" i="2"/>
  <c r="AH17" i="2"/>
  <c r="AG17" i="2"/>
  <c r="AJ16" i="2"/>
  <c r="AI16" i="2"/>
  <c r="AH16" i="2"/>
  <c r="AG16" i="2"/>
  <c r="AJ15" i="2"/>
  <c r="AI15" i="2"/>
  <c r="AH15" i="2"/>
  <c r="AG15" i="2"/>
  <c r="AJ14" i="2"/>
  <c r="AI14" i="2"/>
  <c r="AH14" i="2"/>
  <c r="AG14" i="2"/>
  <c r="AJ13" i="2"/>
  <c r="AI13" i="2"/>
  <c r="AH13" i="2"/>
  <c r="AG13" i="2"/>
  <c r="AJ12" i="2"/>
  <c r="AI12" i="2"/>
  <c r="AH12" i="2"/>
  <c r="AG12" i="2"/>
  <c r="AH39" i="1"/>
  <c r="AI39" i="1"/>
  <c r="AH40" i="1"/>
  <c r="AI40" i="1"/>
  <c r="AH41" i="1"/>
  <c r="AI41" i="1"/>
  <c r="AH42" i="1"/>
  <c r="AI42" i="1"/>
  <c r="AI38" i="1"/>
  <c r="AH38" i="1"/>
  <c r="AG39" i="1"/>
  <c r="AG43" i="1"/>
  <c r="AG44" i="1"/>
  <c r="AG40" i="1"/>
  <c r="AG41" i="1"/>
  <c r="AG45" i="1"/>
  <c r="AG42" i="1"/>
  <c r="AG48" i="1"/>
  <c r="AG49" i="1"/>
  <c r="AG46" i="1"/>
  <c r="AG50" i="1"/>
  <c r="AG47" i="1"/>
  <c r="AG52" i="1"/>
  <c r="AG51" i="1"/>
  <c r="AG53" i="1"/>
  <c r="AG55" i="1"/>
  <c r="AG54" i="1"/>
  <c r="AG56" i="1"/>
  <c r="AG57" i="1"/>
  <c r="AG38" i="1"/>
  <c r="AG12" i="1"/>
  <c r="T18" i="1"/>
  <c r="T20" i="1"/>
  <c r="T23" i="1"/>
  <c r="T21" i="1"/>
  <c r="T24" i="1"/>
  <c r="T22" i="1"/>
  <c r="T25" i="1"/>
  <c r="T28" i="1"/>
  <c r="T29" i="1"/>
  <c r="T26" i="1"/>
  <c r="T27" i="1"/>
  <c r="T30" i="1"/>
  <c r="T31" i="1"/>
  <c r="T33" i="1"/>
  <c r="T32" i="1"/>
  <c r="T34" i="1"/>
  <c r="T35" i="1"/>
  <c r="T36" i="1"/>
  <c r="T37" i="1"/>
  <c r="T19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21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</calcChain>
</file>

<file path=xl/sharedStrings.xml><?xml version="1.0" encoding="utf-8"?>
<sst xmlns="http://schemas.openxmlformats.org/spreadsheetml/2006/main" count="746" uniqueCount="35">
  <si>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</si>
  <si>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</si>
  <si>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</si>
  <si>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</si>
  <si>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</si>
  <si>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</si>
  <si>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</si>
  <si>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</si>
  <si>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</si>
  <si>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</si>
  <si>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</si>
  <si>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4. Visualisasi Persebaran Data (BEFORE)</t>
  </si>
  <si>
    <t># Urutkan data berdasarkan jarak dari yang terkecil</t>
  </si>
  <si>
    <t>?</t>
  </si>
  <si>
    <t>Visualisasi Persebaran Data Setelah Menggunakan Model KNN (AFTER)</t>
  </si>
  <si>
    <t>X1 = 6</t>
  </si>
  <si>
    <t>Jarak dari (6,5)</t>
  </si>
  <si>
    <t>Menggunakan jarak euclidean, untuk menghitung jarak antara titik baru (X1 = 6, X2 = 5) dari setiap titik data.</t>
  </si>
  <si>
    <t>3 - 6 Pemilihan Jumlah Tetangga (K = 5) dan identifikasi tetangga terdekat</t>
  </si>
  <si>
    <t># Tentukan 5 tetangga terdekat</t>
  </si>
  <si>
    <t>ID 6 = Jarak 2 = Kelas B</t>
  </si>
  <si>
    <t>X1_A</t>
  </si>
  <si>
    <t>X2_A</t>
  </si>
  <si>
    <t>X1_B</t>
  </si>
  <si>
    <t>X2_B</t>
  </si>
  <si>
    <t>X1_KKN</t>
  </si>
  <si>
    <t>X2_KKN</t>
  </si>
  <si>
    <t>ID 7 = Jarak 1.414213562 = Kelas A</t>
  </si>
  <si>
    <t>ID 5 = Jarak 2.236067977 = Kelas B</t>
  </si>
  <si>
    <t>ID 8 = Jarak 2.236067977 = Kelas A</t>
  </si>
  <si>
    <t>ID 14 = Jarak 2.828427125 = Kelas A</t>
  </si>
  <si>
    <t>Mayoritas adalah A (3 suara A, 2 suara B)</t>
  </si>
  <si>
    <r>
      <t>Maka titik baru (X1 = 6, X2 = 5) akan diklasifikasikan ke kelas A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</si>
  <si>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Roni Gunawan Muhammad                                              4222311024                                                                    Robotika Malam A</t>
  </si>
  <si>
    <r>
      <t>Maka titik baru (X1 = 6, X2 = 5) akan diklasifikasikan ke kelas A berdasarkan algoritma</t>
    </r>
    <r>
      <rPr>
        <b/>
        <sz val="11"/>
        <color theme="1"/>
        <rFont val="Times New Roman"/>
        <family val="1"/>
      </rPr>
      <t xml:space="preserve"> KNN </t>
    </r>
    <r>
      <rPr>
        <sz val="11"/>
        <color theme="1"/>
        <rFont val="Times New Roman"/>
        <family val="1"/>
      </rPr>
      <t xml:space="preserve">dengan </t>
    </r>
    <r>
      <rPr>
        <b/>
        <sz val="11"/>
        <color theme="1"/>
        <rFont val="Times New Roman"/>
        <family val="1"/>
      </rPr>
      <t>K =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</si>
</sst>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36"/>
      <color rgb="FF00206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3" xfId="0" applyBorder="1"/>
    <xf numFmtId="0" fontId="1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5" fillId="0" borderId="3" xfId="0" applyFont="1" applyBorder="1" applyAlignment="1">
      <alignment horizont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0" fontId="16" fillId="0" borderId="0" xfId="0" applyFont="1"/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/>
    <xf numFmtId="0" fontId="18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2" xfId="0" applyFont="1" applyBorder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5" fillId="0" borderId="0" xfId="0" quotePrefix="1" applyFont="1" applyBorder="1" applyAlignment="1">
      <alignment vertical="center"/>
    </xf>
    <xf numFmtId="0" fontId="15" fillId="0" borderId="6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1-40F2-9578-DED1B8D9C00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1-40F2-9578-DED1B8D9C00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1-40F2-9578-DED1B8D9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D-40D6-B461-F75CC1813014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D-40D6-B461-F75CC1813014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D-40D6-B461-F75CC1813014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Sheet1!$AI$38:$AI$42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9D-40D6-B461-F75CC181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(2)'!$AG$12:$AG$31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(2)'!$AH$12:$AH$31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1-4961-8301-BED169818CB5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(2)'!$AI$12:$AI$31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(2)'!$AJ$12:$AJ$31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01-4961-8301-BED169818CB5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(2)'!$AL$12:$AL$31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01-4961-8301-BED16981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(2)'!$AG$12:$AG$31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(2)'!$AH$12:$AH$31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A-44DF-9889-A0A4D40B76FC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(2)'!$AI$12:$AI$31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(2)'!$AJ$12:$AJ$31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A-44DF-9889-A0A4D40B76FC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(2)'!$AL$12:$AL$31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AA-44DF-9889-A0A4D40B76FC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(2)'!$AH$38:$AH$42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(2)'!$AI$38:$AI$42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AA-44DF-9889-A0A4D40B7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(3)'!$AG$12:$AG$31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(3)'!$AH$12:$AH$31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8-4CD9-9EBA-1698090FD011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(3)'!$AI$12:$AI$31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(3)'!$AJ$12:$AJ$31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8-4CD9-9EBA-1698090FD011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(3)'!$AK$12:$AK$31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(3)'!$AL$12:$AL$31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8-4CD9-9EBA-1698090FD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(3)'!$AG$12:$AG$31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(3)'!$AH$12:$AH$31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4-4826-8EB0-C9D53688BFA2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(3)'!$AI$12:$AI$31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(3)'!$AJ$12:$AJ$31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F4-4826-8EB0-C9D53688BFA2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(3)'!$AK$12:$AK$31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(3)'!$AL$12:$AL$31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F4-4826-8EB0-C9D53688BFA2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(3)'!$AH$38:$AH$42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(3)'!$AI$38:$AI$42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F4-4826-8EB0-C9D53688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(4)'!$AG$12:$AG$31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(4)'!$AH$12:$AH$31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6-4295-90E7-C34D5A946DC6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(4)'!$AI$12:$AI$31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(4)'!$AJ$12:$AJ$31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6-4295-90E7-C34D5A946DC6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(4)'!$AK$12:$AK$31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(4)'!$AL$12:$AL$31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6-4295-90E7-C34D5A94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(4)'!$AG$12:$AG$31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(4)'!$AH$12:$AH$31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5-4E99-A6C3-007A5A26C2F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(4)'!$AI$12:$AI$31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(4)'!$AJ$12:$AJ$31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5-4E99-A6C3-007A5A26C2F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(4)'!$AK$12:$AK$31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(4)'!$AL$12:$AL$31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5-4E99-A6C3-007A5A26C2F9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(4)'!$AH$38:$AH$42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(4)'!$AI$38:$AI$42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D5-4E99-A6C3-007A5A26C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(5)'!$AG$12:$AG$31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(5)'!$AH$12:$AH$31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D-4415-923B-1C5AF569126E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(5)'!$AI$12:$AI$31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(5)'!$AJ$12:$AJ$31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2D-4415-923B-1C5AF569126E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(5)'!$AK$12:$AK$31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(5)'!$AL$12:$AL$31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2D-4415-923B-1C5AF569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'Sheet1 (5)'!$AG$12:$AG$31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'Sheet1 (5)'!$AH$12:$AH$31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E-48E0-9D27-8559DD2F6098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'Sheet1 (5)'!$AI$12:$AI$31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'Sheet1 (5)'!$AJ$12:$AJ$31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E-48E0-9D27-8559DD2F6098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(5)'!$AK$12:$AK$31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'Sheet1 (5)'!$AL$12:$AL$31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E-48E0-9D27-8559DD2F6098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(5)'!$AH$38:$AH$42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'Sheet1 (5)'!$AI$38:$AI$42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7E-48E0-9D27-8559DD2F6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AFEB4-D0DD-0FAB-B659-AEF8B307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93C6B-7B4A-4037-8C3A-9AC1AA41A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F69F5B-1EE4-7880-6821-A299A1474073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449580</xdr:colOff>
      <xdr:row>12</xdr:row>
      <xdr:rowOff>121920</xdr:rowOff>
    </xdr:from>
    <xdr:to>
      <xdr:col>12</xdr:col>
      <xdr:colOff>792480</xdr:colOff>
      <xdr:row>17</xdr:row>
      <xdr:rowOff>98805</xdr:rowOff>
    </xdr:to>
    <xdr:pic>
      <xdr:nvPicPr>
        <xdr:cNvPr id="2" name="Google Shape;391;p20">
          <a:extLst>
            <a:ext uri="{FF2B5EF4-FFF2-40B4-BE49-F238E27FC236}">
              <a16:creationId xmlns:a16="http://schemas.microsoft.com/office/drawing/2014/main" id="{A931490D-3671-44FF-A027-770DC36011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</a:blip>
        <a:srcRect/>
        <a:stretch/>
      </xdr:blipFill>
      <xdr:spPr>
        <a:xfrm>
          <a:off x="4663440" y="2857500"/>
          <a:ext cx="3718560" cy="1127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9BBF5-5345-4728-9C95-00BE7ACB5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4D5C3-3FF7-408D-ADA2-97BAB8A0C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CA6C25B-E460-4EFD-B243-130A277FCCA4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B001D-DD7B-4B47-A354-82A230DBE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95C73-4EC3-4035-B595-113C6EF24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97D8B12-EE3C-4703-8AF2-DA501E6CAF34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F8DA2-07B0-4416-8DC7-F8C232826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644572-EC6F-4EBF-BDA6-376D7CED4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24B560-2022-47F2-84FE-F460DA39FF3C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64338-0CB5-421B-8A05-0CC4D3EBA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0641B4-9493-4A0B-8033-F6949DF6D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38101</xdr:colOff>
      <xdr:row>44</xdr:row>
      <xdr:rowOff>6350</xdr:rowOff>
    </xdr:from>
    <xdr:to>
      <xdr:col>37</xdr:col>
      <xdr:colOff>298451</xdr:colOff>
      <xdr:row>46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EE83180-9DC1-4388-A3DB-3EF179CAE6DD}"/>
            </a:ext>
          </a:extLst>
        </xdr:cNvPr>
        <xdr:cNvSpPr/>
      </xdr:nvSpPr>
      <xdr:spPr>
        <a:xfrm rot="19631519">
          <a:off x="24142701" y="90741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L1000"/>
  <sheetViews>
    <sheetView tabSelected="1" view="pageBreakPreview" zoomScaleNormal="100" zoomScaleSheetLayoutView="100" workbookViewId="0">
      <selection activeCell="K7" sqref="K7"/>
    </sheetView>
  </sheetViews>
  <sheetFormatPr defaultColWidth="14.44140625" defaultRowHeight="15" customHeight="1" x14ac:dyDescent="0.25"/>
  <cols>
    <col min="1" max="11" width="8.77734375" style="36" customWidth="1"/>
    <col min="12" max="13" width="14.109375" style="36" customWidth="1"/>
    <col min="14" max="19" width="8.77734375" style="36" customWidth="1"/>
    <col min="20" max="20" width="14.109375" style="36" customWidth="1"/>
    <col min="21" max="21" width="5.77734375" style="36" customWidth="1"/>
    <col min="22" max="32" width="8.77734375" style="36" customWidth="1"/>
    <col min="33" max="36" width="13.21875" style="36" customWidth="1"/>
    <col min="37" max="42" width="8.77734375" style="36" customWidth="1"/>
    <col min="43" max="16384" width="14.44140625" style="36"/>
  </cols>
  <sheetData>
    <row r="2" spans="3:38" ht="46.2" x14ac:dyDescent="0.8">
      <c r="D2" s="37"/>
      <c r="E2" s="37" t="s">
        <v>0</v>
      </c>
      <c r="J2" s="37"/>
    </row>
    <row r="3" spans="3:38" ht="15" customHeight="1" x14ac:dyDescent="0.25">
      <c r="J3" s="35" t="s">
        <v>33</v>
      </c>
      <c r="K3" s="35"/>
      <c r="L3" s="35"/>
      <c r="M3" s="35"/>
    </row>
    <row r="4" spans="3:38" ht="13.8" x14ac:dyDescent="0.25">
      <c r="C4" s="38" t="s">
        <v>1</v>
      </c>
      <c r="J4" s="35"/>
      <c r="K4" s="35"/>
      <c r="L4" s="35"/>
      <c r="M4" s="35"/>
    </row>
    <row r="5" spans="3:38" ht="27.6" customHeight="1" x14ac:dyDescent="0.25">
      <c r="C5" s="39" t="s">
        <v>2</v>
      </c>
      <c r="D5" s="39" t="s">
        <v>3</v>
      </c>
      <c r="E5" s="39" t="s">
        <v>4</v>
      </c>
      <c r="F5" s="39" t="s">
        <v>5</v>
      </c>
      <c r="H5" s="67" t="s">
        <v>6</v>
      </c>
      <c r="I5" s="67"/>
      <c r="J5" s="66"/>
      <c r="K5" s="35"/>
      <c r="L5" s="35"/>
      <c r="M5" s="35"/>
    </row>
    <row r="6" spans="3:38" ht="13.8" x14ac:dyDescent="0.25">
      <c r="C6" s="40">
        <v>1</v>
      </c>
      <c r="D6" s="40">
        <v>1</v>
      </c>
      <c r="E6" s="40">
        <v>1</v>
      </c>
      <c r="F6" s="40" t="s">
        <v>7</v>
      </c>
      <c r="H6" s="68" t="s">
        <v>15</v>
      </c>
      <c r="I6" s="68"/>
    </row>
    <row r="7" spans="3:38" ht="13.8" x14ac:dyDescent="0.25">
      <c r="C7" s="40">
        <v>2</v>
      </c>
      <c r="D7" s="40">
        <v>2</v>
      </c>
      <c r="E7" s="40">
        <v>1</v>
      </c>
      <c r="F7" s="40" t="s">
        <v>7</v>
      </c>
      <c r="H7" s="68" t="s">
        <v>8</v>
      </c>
      <c r="I7" s="68"/>
      <c r="P7" s="41" t="s">
        <v>18</v>
      </c>
      <c r="Q7" s="41"/>
      <c r="R7" s="41"/>
      <c r="S7" s="41"/>
    </row>
    <row r="8" spans="3:38" ht="13.8" x14ac:dyDescent="0.25">
      <c r="C8" s="40">
        <v>3</v>
      </c>
      <c r="D8" s="40">
        <v>3</v>
      </c>
      <c r="E8" s="40">
        <v>2</v>
      </c>
      <c r="F8" s="40" t="s">
        <v>7</v>
      </c>
      <c r="P8" s="41"/>
      <c r="Q8" s="41"/>
      <c r="R8" s="41"/>
      <c r="S8" s="41"/>
    </row>
    <row r="9" spans="3:38" ht="15" customHeight="1" x14ac:dyDescent="0.25">
      <c r="C9" s="40">
        <v>4</v>
      </c>
      <c r="D9" s="40">
        <v>4</v>
      </c>
      <c r="E9" s="40">
        <v>2</v>
      </c>
      <c r="F9" s="40" t="s">
        <v>9</v>
      </c>
      <c r="H9" s="42" t="s">
        <v>10</v>
      </c>
      <c r="I9" s="43"/>
      <c r="P9" s="36" t="s">
        <v>12</v>
      </c>
      <c r="AC9" s="42" t="s">
        <v>11</v>
      </c>
      <c r="AD9" s="43"/>
      <c r="AE9" s="43"/>
      <c r="AF9" s="43"/>
    </row>
    <row r="10" spans="3:38" ht="13.8" x14ac:dyDescent="0.25">
      <c r="C10" s="40">
        <v>5</v>
      </c>
      <c r="D10" s="40">
        <v>5</v>
      </c>
      <c r="E10" s="40">
        <v>3</v>
      </c>
      <c r="F10" s="40" t="s">
        <v>9</v>
      </c>
      <c r="H10" s="41" t="s">
        <v>17</v>
      </c>
      <c r="I10" s="43"/>
      <c r="J10" s="43"/>
      <c r="K10" s="43"/>
      <c r="L10" s="43"/>
      <c r="M10" s="43"/>
      <c r="N10" s="43"/>
      <c r="P10" s="36" t="s">
        <v>19</v>
      </c>
    </row>
    <row r="11" spans="3:38" ht="13.8" x14ac:dyDescent="0.25">
      <c r="C11" s="40">
        <v>6</v>
      </c>
      <c r="D11" s="40">
        <v>6</v>
      </c>
      <c r="E11" s="40">
        <v>3</v>
      </c>
      <c r="F11" s="40" t="s">
        <v>9</v>
      </c>
      <c r="H11" s="43"/>
      <c r="I11" s="43"/>
      <c r="J11" s="43"/>
      <c r="K11" s="43"/>
      <c r="L11" s="43"/>
      <c r="M11" s="43"/>
      <c r="N11" s="43"/>
      <c r="P11" s="36" t="s">
        <v>27</v>
      </c>
      <c r="AC11" s="39" t="s">
        <v>2</v>
      </c>
      <c r="AD11" s="39" t="s">
        <v>3</v>
      </c>
      <c r="AE11" s="39" t="s">
        <v>4</v>
      </c>
      <c r="AF11" s="44" t="s">
        <v>5</v>
      </c>
      <c r="AG11" s="45" t="s">
        <v>21</v>
      </c>
      <c r="AH11" s="45" t="s">
        <v>22</v>
      </c>
      <c r="AI11" s="45" t="s">
        <v>23</v>
      </c>
      <c r="AJ11" s="45" t="s">
        <v>24</v>
      </c>
    </row>
    <row r="12" spans="3:38" ht="13.8" x14ac:dyDescent="0.25">
      <c r="C12" s="40">
        <v>7</v>
      </c>
      <c r="D12" s="40">
        <v>7</v>
      </c>
      <c r="E12" s="40">
        <v>4</v>
      </c>
      <c r="F12" s="40" t="s">
        <v>7</v>
      </c>
      <c r="H12" s="46"/>
      <c r="P12" s="36" t="s">
        <v>20</v>
      </c>
      <c r="AC12" s="40">
        <v>1</v>
      </c>
      <c r="AD12" s="40">
        <v>1</v>
      </c>
      <c r="AE12" s="40">
        <v>1</v>
      </c>
      <c r="AF12" s="47" t="s">
        <v>7</v>
      </c>
      <c r="AG12" s="48">
        <f>IF($AF12="A",$AD12,"")</f>
        <v>1</v>
      </c>
      <c r="AH12" s="48">
        <f>IF($AF12="A",$AE12,"")</f>
        <v>1</v>
      </c>
      <c r="AI12" s="48" t="str">
        <f>IF($AF12="B",$AD12,"")</f>
        <v/>
      </c>
      <c r="AJ12" s="48" t="str">
        <f>IF($AF12="B",$AE12,"")</f>
        <v/>
      </c>
      <c r="AK12" s="36">
        <v>6</v>
      </c>
      <c r="AL12" s="36">
        <v>5</v>
      </c>
    </row>
    <row r="13" spans="3:38" ht="15.45" customHeight="1" x14ac:dyDescent="0.25">
      <c r="C13" s="40">
        <v>8</v>
      </c>
      <c r="D13" s="40">
        <v>8</v>
      </c>
      <c r="E13" s="40">
        <v>4</v>
      </c>
      <c r="F13" s="40" t="s">
        <v>7</v>
      </c>
      <c r="H13" s="65"/>
      <c r="I13" s="65"/>
      <c r="J13" s="65"/>
      <c r="K13" s="65"/>
      <c r="L13" s="65"/>
      <c r="P13" s="36" t="s">
        <v>28</v>
      </c>
      <c r="AC13" s="40">
        <v>2</v>
      </c>
      <c r="AD13" s="40">
        <v>2</v>
      </c>
      <c r="AE13" s="40">
        <v>1</v>
      </c>
      <c r="AF13" s="47" t="s">
        <v>7</v>
      </c>
      <c r="AG13" s="48">
        <f t="shared" ref="AG13:AG31" si="0">IF($AF13="A",$AD13,"")</f>
        <v>2</v>
      </c>
      <c r="AH13" s="48">
        <f t="shared" ref="AH13:AH31" si="1">IF($AF13="A",$AE13,"")</f>
        <v>1</v>
      </c>
      <c r="AI13" s="48" t="str">
        <f t="shared" ref="AI13:AI31" si="2">IF($AF13="B",$AD13,"")</f>
        <v/>
      </c>
      <c r="AJ13" s="48" t="str">
        <f t="shared" ref="AJ13:AJ31" si="3">IF($AF13="B",$AE13,"")</f>
        <v/>
      </c>
      <c r="AK13" s="36">
        <v>6</v>
      </c>
      <c r="AL13" s="36">
        <v>5</v>
      </c>
    </row>
    <row r="14" spans="3:38" ht="15.45" customHeight="1" x14ac:dyDescent="0.25">
      <c r="C14" s="40">
        <v>9</v>
      </c>
      <c r="D14" s="40">
        <v>9</v>
      </c>
      <c r="E14" s="40">
        <v>5</v>
      </c>
      <c r="F14" s="40" t="s">
        <v>9</v>
      </c>
      <c r="H14" s="65"/>
      <c r="I14" s="65"/>
      <c r="J14" s="65"/>
      <c r="K14" s="65"/>
      <c r="L14" s="65"/>
      <c r="P14" s="36" t="s">
        <v>29</v>
      </c>
      <c r="AC14" s="40">
        <v>3</v>
      </c>
      <c r="AD14" s="40">
        <v>3</v>
      </c>
      <c r="AE14" s="40">
        <v>2</v>
      </c>
      <c r="AF14" s="47" t="s">
        <v>7</v>
      </c>
      <c r="AG14" s="48">
        <f t="shared" si="0"/>
        <v>3</v>
      </c>
      <c r="AH14" s="48">
        <f t="shared" si="1"/>
        <v>2</v>
      </c>
      <c r="AI14" s="48" t="str">
        <f t="shared" si="2"/>
        <v/>
      </c>
      <c r="AJ14" s="48" t="str">
        <f t="shared" si="3"/>
        <v/>
      </c>
      <c r="AK14" s="36">
        <v>6</v>
      </c>
      <c r="AL14" s="36">
        <v>5</v>
      </c>
    </row>
    <row r="15" spans="3:38" ht="13.8" x14ac:dyDescent="0.25">
      <c r="C15" s="40">
        <v>10</v>
      </c>
      <c r="D15" s="40">
        <v>10</v>
      </c>
      <c r="E15" s="40">
        <v>5</v>
      </c>
      <c r="F15" s="40" t="s">
        <v>7</v>
      </c>
      <c r="P15" s="36" t="s">
        <v>30</v>
      </c>
      <c r="AC15" s="40">
        <v>4</v>
      </c>
      <c r="AD15" s="40">
        <v>4</v>
      </c>
      <c r="AE15" s="40">
        <v>2</v>
      </c>
      <c r="AF15" s="47" t="s">
        <v>9</v>
      </c>
      <c r="AG15" s="48" t="str">
        <f t="shared" si="0"/>
        <v/>
      </c>
      <c r="AH15" s="48" t="str">
        <f t="shared" si="1"/>
        <v/>
      </c>
      <c r="AI15" s="48">
        <f t="shared" si="2"/>
        <v>4</v>
      </c>
      <c r="AJ15" s="48">
        <f t="shared" si="3"/>
        <v>2</v>
      </c>
      <c r="AK15" s="36">
        <v>6</v>
      </c>
      <c r="AL15" s="36">
        <v>5</v>
      </c>
    </row>
    <row r="16" spans="3:38" ht="19.5" customHeight="1" x14ac:dyDescent="0.25">
      <c r="C16" s="40">
        <v>11</v>
      </c>
      <c r="D16" s="40">
        <v>1</v>
      </c>
      <c r="E16" s="40">
        <v>6</v>
      </c>
      <c r="F16" s="40" t="s">
        <v>9</v>
      </c>
      <c r="AC16" s="40">
        <v>5</v>
      </c>
      <c r="AD16" s="40">
        <v>5</v>
      </c>
      <c r="AE16" s="40">
        <v>3</v>
      </c>
      <c r="AF16" s="47" t="s">
        <v>9</v>
      </c>
      <c r="AG16" s="48" t="str">
        <f t="shared" si="0"/>
        <v/>
      </c>
      <c r="AH16" s="48" t="str">
        <f t="shared" si="1"/>
        <v/>
      </c>
      <c r="AI16" s="48">
        <f t="shared" si="2"/>
        <v>5</v>
      </c>
      <c r="AJ16" s="48">
        <f t="shared" si="3"/>
        <v>3</v>
      </c>
      <c r="AK16" s="36">
        <v>6</v>
      </c>
      <c r="AL16" s="36">
        <v>5</v>
      </c>
    </row>
    <row r="17" spans="3:38" ht="27.6" x14ac:dyDescent="0.25">
      <c r="C17" s="40">
        <v>12</v>
      </c>
      <c r="D17" s="40">
        <v>2</v>
      </c>
      <c r="E17" s="40">
        <v>6</v>
      </c>
      <c r="F17" s="40" t="s">
        <v>9</v>
      </c>
      <c r="M17" s="49"/>
      <c r="P17" s="39" t="s">
        <v>2</v>
      </c>
      <c r="Q17" s="39" t="s">
        <v>3</v>
      </c>
      <c r="R17" s="39" t="s">
        <v>4</v>
      </c>
      <c r="S17" s="39" t="s">
        <v>5</v>
      </c>
      <c r="T17" s="39" t="s">
        <v>16</v>
      </c>
      <c r="U17" s="49"/>
      <c r="AC17" s="40">
        <v>6</v>
      </c>
      <c r="AD17" s="40">
        <v>6</v>
      </c>
      <c r="AE17" s="40">
        <v>3</v>
      </c>
      <c r="AF17" s="47" t="s">
        <v>9</v>
      </c>
      <c r="AG17" s="48" t="str">
        <f t="shared" si="0"/>
        <v/>
      </c>
      <c r="AH17" s="48" t="str">
        <f t="shared" si="1"/>
        <v/>
      </c>
      <c r="AI17" s="48">
        <f t="shared" si="2"/>
        <v>6</v>
      </c>
      <c r="AJ17" s="48">
        <f t="shared" si="3"/>
        <v>3</v>
      </c>
      <c r="AK17" s="36">
        <v>6</v>
      </c>
      <c r="AL17" s="36">
        <v>5</v>
      </c>
    </row>
    <row r="18" spans="3:38" ht="13.8" x14ac:dyDescent="0.25">
      <c r="C18" s="40">
        <v>13</v>
      </c>
      <c r="D18" s="40">
        <v>3</v>
      </c>
      <c r="E18" s="40">
        <v>7</v>
      </c>
      <c r="F18" s="40" t="s">
        <v>7</v>
      </c>
      <c r="M18" s="51"/>
      <c r="P18" s="52">
        <v>7</v>
      </c>
      <c r="Q18" s="52">
        <v>7</v>
      </c>
      <c r="R18" s="52">
        <v>4</v>
      </c>
      <c r="S18" s="52" t="s">
        <v>7</v>
      </c>
      <c r="T18" s="53">
        <f t="shared" ref="T18:T37" si="4">((ABS(Q18-6)^2)+(ABS(R18-5)^2))^(1/2)</f>
        <v>1.4142135623730951</v>
      </c>
      <c r="U18" s="54"/>
      <c r="AC18" s="40">
        <v>7</v>
      </c>
      <c r="AD18" s="40">
        <v>7</v>
      </c>
      <c r="AE18" s="40">
        <v>4</v>
      </c>
      <c r="AF18" s="47" t="s">
        <v>7</v>
      </c>
      <c r="AG18" s="48">
        <f t="shared" si="0"/>
        <v>7</v>
      </c>
      <c r="AH18" s="48">
        <f t="shared" si="1"/>
        <v>4</v>
      </c>
      <c r="AI18" s="48" t="str">
        <f t="shared" si="2"/>
        <v/>
      </c>
      <c r="AJ18" s="48" t="str">
        <f t="shared" si="3"/>
        <v/>
      </c>
      <c r="AK18" s="36">
        <v>6</v>
      </c>
      <c r="AL18" s="36">
        <v>5</v>
      </c>
    </row>
    <row r="19" spans="3:38" ht="13.8" x14ac:dyDescent="0.25">
      <c r="C19" s="40">
        <v>14</v>
      </c>
      <c r="D19" s="40">
        <v>4</v>
      </c>
      <c r="E19" s="40">
        <v>7</v>
      </c>
      <c r="F19" s="40" t="s">
        <v>7</v>
      </c>
      <c r="P19" s="52">
        <v>6</v>
      </c>
      <c r="Q19" s="52">
        <v>6</v>
      </c>
      <c r="R19" s="52">
        <v>3</v>
      </c>
      <c r="S19" s="52" t="s">
        <v>9</v>
      </c>
      <c r="T19" s="53">
        <f t="shared" si="4"/>
        <v>2</v>
      </c>
      <c r="U19" s="54"/>
      <c r="AC19" s="40">
        <v>8</v>
      </c>
      <c r="AD19" s="40">
        <v>8</v>
      </c>
      <c r="AE19" s="40">
        <v>4</v>
      </c>
      <c r="AF19" s="47" t="s">
        <v>7</v>
      </c>
      <c r="AG19" s="48">
        <f t="shared" si="0"/>
        <v>8</v>
      </c>
      <c r="AH19" s="48">
        <f t="shared" si="1"/>
        <v>4</v>
      </c>
      <c r="AI19" s="48" t="str">
        <f t="shared" si="2"/>
        <v/>
      </c>
      <c r="AJ19" s="48" t="str">
        <f t="shared" si="3"/>
        <v/>
      </c>
      <c r="AK19" s="36">
        <v>6</v>
      </c>
      <c r="AL19" s="36">
        <v>5</v>
      </c>
    </row>
    <row r="20" spans="3:38" ht="27.6" x14ac:dyDescent="0.25">
      <c r="C20" s="40">
        <v>15</v>
      </c>
      <c r="D20" s="40">
        <v>5</v>
      </c>
      <c r="E20" s="40">
        <v>8</v>
      </c>
      <c r="F20" s="40" t="s">
        <v>9</v>
      </c>
      <c r="I20" s="39" t="s">
        <v>2</v>
      </c>
      <c r="J20" s="39" t="s">
        <v>3</v>
      </c>
      <c r="K20" s="39" t="s">
        <v>4</v>
      </c>
      <c r="L20" s="39" t="s">
        <v>5</v>
      </c>
      <c r="M20" s="39" t="s">
        <v>16</v>
      </c>
      <c r="P20" s="52">
        <v>5</v>
      </c>
      <c r="Q20" s="52">
        <v>5</v>
      </c>
      <c r="R20" s="52">
        <v>3</v>
      </c>
      <c r="S20" s="52" t="s">
        <v>9</v>
      </c>
      <c r="T20" s="53">
        <f t="shared" si="4"/>
        <v>2.2360679774997898</v>
      </c>
      <c r="U20" s="54"/>
      <c r="V20" s="36" t="s">
        <v>31</v>
      </c>
      <c r="AC20" s="40">
        <v>9</v>
      </c>
      <c r="AD20" s="40">
        <v>9</v>
      </c>
      <c r="AE20" s="40">
        <v>5</v>
      </c>
      <c r="AF20" s="47" t="s">
        <v>9</v>
      </c>
      <c r="AG20" s="48" t="str">
        <f t="shared" si="0"/>
        <v/>
      </c>
      <c r="AH20" s="48" t="str">
        <f t="shared" si="1"/>
        <v/>
      </c>
      <c r="AI20" s="48">
        <f t="shared" si="2"/>
        <v>9</v>
      </c>
      <c r="AJ20" s="48">
        <f t="shared" si="3"/>
        <v>5</v>
      </c>
      <c r="AK20" s="36">
        <v>6</v>
      </c>
      <c r="AL20" s="36">
        <v>5</v>
      </c>
    </row>
    <row r="21" spans="3:38" ht="15.75" customHeight="1" x14ac:dyDescent="0.25">
      <c r="C21" s="40">
        <v>16</v>
      </c>
      <c r="D21" s="40">
        <v>6</v>
      </c>
      <c r="E21" s="40">
        <v>8</v>
      </c>
      <c r="F21" s="40" t="s">
        <v>9</v>
      </c>
      <c r="I21" s="40">
        <v>1</v>
      </c>
      <c r="J21" s="40">
        <v>1</v>
      </c>
      <c r="K21" s="40">
        <v>1</v>
      </c>
      <c r="L21" s="40" t="s">
        <v>7</v>
      </c>
      <c r="M21" s="50">
        <f>((ABS(J21-6)^2)+ABS((K21-5)^2))^(1/2)</f>
        <v>6.4031242374328485</v>
      </c>
      <c r="P21" s="52">
        <v>8</v>
      </c>
      <c r="Q21" s="52">
        <v>8</v>
      </c>
      <c r="R21" s="52">
        <v>4</v>
      </c>
      <c r="S21" s="52" t="s">
        <v>7</v>
      </c>
      <c r="T21" s="53">
        <f t="shared" si="4"/>
        <v>2.2360679774997898</v>
      </c>
      <c r="U21" s="51"/>
      <c r="V21" s="55" t="s">
        <v>34</v>
      </c>
      <c r="W21" s="55"/>
      <c r="X21" s="55"/>
      <c r="Y21" s="55"/>
      <c r="Z21" s="55"/>
      <c r="AA21" s="55"/>
      <c r="AC21" s="40">
        <v>10</v>
      </c>
      <c r="AD21" s="40">
        <v>10</v>
      </c>
      <c r="AE21" s="40">
        <v>5</v>
      </c>
      <c r="AF21" s="47" t="s">
        <v>7</v>
      </c>
      <c r="AG21" s="48">
        <f t="shared" si="0"/>
        <v>10</v>
      </c>
      <c r="AH21" s="48">
        <f t="shared" si="1"/>
        <v>5</v>
      </c>
      <c r="AI21" s="48" t="str">
        <f t="shared" si="2"/>
        <v/>
      </c>
      <c r="AJ21" s="48" t="str">
        <f t="shared" si="3"/>
        <v/>
      </c>
      <c r="AK21" s="36">
        <v>6</v>
      </c>
      <c r="AL21" s="36">
        <v>5</v>
      </c>
    </row>
    <row r="22" spans="3:38" ht="15.75" customHeight="1" x14ac:dyDescent="0.25">
      <c r="C22" s="40">
        <v>17</v>
      </c>
      <c r="D22" s="40">
        <v>7</v>
      </c>
      <c r="E22" s="40">
        <v>9</v>
      </c>
      <c r="F22" s="40" t="s">
        <v>7</v>
      </c>
      <c r="I22" s="40">
        <v>2</v>
      </c>
      <c r="J22" s="40">
        <v>2</v>
      </c>
      <c r="K22" s="40">
        <v>1</v>
      </c>
      <c r="L22" s="40" t="s">
        <v>7</v>
      </c>
      <c r="M22" s="50">
        <f>((ABS(J22-6)^2)+ABS((K22-5)^2))^(1/2)</f>
        <v>5.6568542494923806</v>
      </c>
      <c r="P22" s="52">
        <v>14</v>
      </c>
      <c r="Q22" s="52">
        <v>4</v>
      </c>
      <c r="R22" s="52">
        <v>7</v>
      </c>
      <c r="S22" s="52" t="s">
        <v>7</v>
      </c>
      <c r="T22" s="53">
        <f t="shared" si="4"/>
        <v>2.8284271247461903</v>
      </c>
      <c r="U22" s="51"/>
      <c r="V22" s="55"/>
      <c r="W22" s="55"/>
      <c r="X22" s="55"/>
      <c r="Y22" s="55"/>
      <c r="Z22" s="55"/>
      <c r="AA22" s="55"/>
      <c r="AC22" s="40">
        <v>11</v>
      </c>
      <c r="AD22" s="40">
        <v>1</v>
      </c>
      <c r="AE22" s="40">
        <v>6</v>
      </c>
      <c r="AF22" s="47" t="s">
        <v>9</v>
      </c>
      <c r="AG22" s="48" t="str">
        <f t="shared" si="0"/>
        <v/>
      </c>
      <c r="AH22" s="48" t="str">
        <f t="shared" si="1"/>
        <v/>
      </c>
      <c r="AI22" s="48">
        <f t="shared" si="2"/>
        <v>1</v>
      </c>
      <c r="AJ22" s="48">
        <f t="shared" si="3"/>
        <v>6</v>
      </c>
      <c r="AK22" s="36">
        <v>6</v>
      </c>
      <c r="AL22" s="36">
        <v>5</v>
      </c>
    </row>
    <row r="23" spans="3:38" ht="15.75" customHeight="1" x14ac:dyDescent="0.25">
      <c r="C23" s="40">
        <v>18</v>
      </c>
      <c r="D23" s="40">
        <v>8</v>
      </c>
      <c r="E23" s="40">
        <v>9</v>
      </c>
      <c r="F23" s="40" t="s">
        <v>7</v>
      </c>
      <c r="I23" s="40">
        <v>3</v>
      </c>
      <c r="J23" s="40">
        <v>3</v>
      </c>
      <c r="K23" s="40">
        <v>2</v>
      </c>
      <c r="L23" s="40" t="s">
        <v>7</v>
      </c>
      <c r="M23" s="50">
        <f>((ABS(J23-6)^2)+ABS((K23-5)^2))^(1/2)</f>
        <v>4.2426406871192848</v>
      </c>
      <c r="P23" s="56">
        <v>16</v>
      </c>
      <c r="Q23" s="56">
        <v>6</v>
      </c>
      <c r="R23" s="56">
        <v>8</v>
      </c>
      <c r="S23" s="56" t="s">
        <v>9</v>
      </c>
      <c r="T23" s="53">
        <f t="shared" si="4"/>
        <v>3</v>
      </c>
      <c r="U23" s="51"/>
      <c r="V23" s="55"/>
      <c r="W23" s="55"/>
      <c r="X23" s="55"/>
      <c r="Y23" s="55"/>
      <c r="Z23" s="55"/>
      <c r="AA23" s="55"/>
      <c r="AC23" s="40">
        <v>12</v>
      </c>
      <c r="AD23" s="40">
        <v>2</v>
      </c>
      <c r="AE23" s="40">
        <v>6</v>
      </c>
      <c r="AF23" s="47" t="s">
        <v>9</v>
      </c>
      <c r="AG23" s="48" t="str">
        <f t="shared" si="0"/>
        <v/>
      </c>
      <c r="AH23" s="48" t="str">
        <f t="shared" si="1"/>
        <v/>
      </c>
      <c r="AI23" s="48">
        <f t="shared" si="2"/>
        <v>2</v>
      </c>
      <c r="AJ23" s="48">
        <f t="shared" si="3"/>
        <v>6</v>
      </c>
      <c r="AK23" s="36">
        <v>6</v>
      </c>
      <c r="AL23" s="36">
        <v>5</v>
      </c>
    </row>
    <row r="24" spans="3:38" ht="15.75" customHeight="1" x14ac:dyDescent="0.25">
      <c r="C24" s="40">
        <v>19</v>
      </c>
      <c r="D24" s="40">
        <v>9</v>
      </c>
      <c r="E24" s="40">
        <v>10</v>
      </c>
      <c r="F24" s="40" t="s">
        <v>9</v>
      </c>
      <c r="I24" s="40">
        <v>4</v>
      </c>
      <c r="J24" s="40">
        <v>4</v>
      </c>
      <c r="K24" s="40">
        <v>2</v>
      </c>
      <c r="L24" s="40" t="s">
        <v>9</v>
      </c>
      <c r="M24" s="50">
        <f>((ABS(J24-6)^2)+ABS((K24-5)^2))^(1/2)</f>
        <v>3.6055512754639891</v>
      </c>
      <c r="P24" s="56">
        <v>9</v>
      </c>
      <c r="Q24" s="56">
        <v>9</v>
      </c>
      <c r="R24" s="56">
        <v>5</v>
      </c>
      <c r="S24" s="56" t="s">
        <v>9</v>
      </c>
      <c r="T24" s="53">
        <f t="shared" si="4"/>
        <v>3</v>
      </c>
      <c r="U24" s="51"/>
      <c r="AC24" s="40">
        <v>13</v>
      </c>
      <c r="AD24" s="40">
        <v>3</v>
      </c>
      <c r="AE24" s="40">
        <v>7</v>
      </c>
      <c r="AF24" s="47" t="s">
        <v>7</v>
      </c>
      <c r="AG24" s="48">
        <f t="shared" si="0"/>
        <v>3</v>
      </c>
      <c r="AH24" s="48">
        <f t="shared" si="1"/>
        <v>7</v>
      </c>
      <c r="AI24" s="48" t="str">
        <f t="shared" si="2"/>
        <v/>
      </c>
      <c r="AJ24" s="48" t="str">
        <f t="shared" si="3"/>
        <v/>
      </c>
      <c r="AK24" s="36">
        <v>6</v>
      </c>
      <c r="AL24" s="36">
        <v>5</v>
      </c>
    </row>
    <row r="25" spans="3:38" ht="15.75" customHeight="1" x14ac:dyDescent="0.25">
      <c r="C25" s="40">
        <v>20</v>
      </c>
      <c r="D25" s="40">
        <v>10</v>
      </c>
      <c r="E25" s="40">
        <v>10</v>
      </c>
      <c r="F25" s="40" t="s">
        <v>7</v>
      </c>
      <c r="I25" s="40">
        <v>5</v>
      </c>
      <c r="J25" s="40">
        <v>5</v>
      </c>
      <c r="K25" s="40">
        <v>3</v>
      </c>
      <c r="L25" s="40" t="s">
        <v>9</v>
      </c>
      <c r="M25" s="50">
        <f>((ABS(J25-6)^2)+ABS((K25-5)^2))^(1/2)</f>
        <v>2.2360679774997898</v>
      </c>
      <c r="P25" s="56">
        <v>15</v>
      </c>
      <c r="Q25" s="56">
        <v>5</v>
      </c>
      <c r="R25" s="56">
        <v>8</v>
      </c>
      <c r="S25" s="56" t="s">
        <v>9</v>
      </c>
      <c r="T25" s="53">
        <f t="shared" si="4"/>
        <v>3.1622776601683795</v>
      </c>
      <c r="U25" s="51"/>
      <c r="AC25" s="40">
        <v>14</v>
      </c>
      <c r="AD25" s="40">
        <v>4</v>
      </c>
      <c r="AE25" s="40">
        <v>7</v>
      </c>
      <c r="AF25" s="47" t="s">
        <v>7</v>
      </c>
      <c r="AG25" s="48">
        <f t="shared" si="0"/>
        <v>4</v>
      </c>
      <c r="AH25" s="48">
        <f t="shared" si="1"/>
        <v>7</v>
      </c>
      <c r="AI25" s="48" t="str">
        <f t="shared" si="2"/>
        <v/>
      </c>
      <c r="AJ25" s="48" t="str">
        <f t="shared" si="3"/>
        <v/>
      </c>
      <c r="AK25" s="36">
        <v>6</v>
      </c>
      <c r="AL25" s="36">
        <v>5</v>
      </c>
    </row>
    <row r="26" spans="3:38" ht="15" customHeight="1" x14ac:dyDescent="0.25">
      <c r="C26" s="36">
        <v>21</v>
      </c>
      <c r="D26" s="36">
        <v>4</v>
      </c>
      <c r="E26" s="36">
        <v>5</v>
      </c>
      <c r="F26" s="36" t="s">
        <v>13</v>
      </c>
      <c r="I26" s="40">
        <v>6</v>
      </c>
      <c r="J26" s="40">
        <v>6</v>
      </c>
      <c r="K26" s="40">
        <v>3</v>
      </c>
      <c r="L26" s="40" t="s">
        <v>9</v>
      </c>
      <c r="M26" s="50">
        <f>((ABS(J26-6)^2)+ABS((K26-5)^2))^(1/2)</f>
        <v>2</v>
      </c>
      <c r="P26" s="56">
        <v>13</v>
      </c>
      <c r="Q26" s="56">
        <v>3</v>
      </c>
      <c r="R26" s="56">
        <v>7</v>
      </c>
      <c r="S26" s="56" t="s">
        <v>7</v>
      </c>
      <c r="T26" s="53">
        <f t="shared" si="4"/>
        <v>3.6055512754639891</v>
      </c>
      <c r="U26" s="51"/>
      <c r="W26" s="57"/>
      <c r="X26" s="57"/>
      <c r="Y26" s="57"/>
      <c r="Z26" s="57"/>
      <c r="AA26" s="57"/>
      <c r="AB26" s="58"/>
      <c r="AC26" s="40">
        <v>15</v>
      </c>
      <c r="AD26" s="40">
        <v>5</v>
      </c>
      <c r="AE26" s="40">
        <v>8</v>
      </c>
      <c r="AF26" s="47" t="s">
        <v>9</v>
      </c>
      <c r="AG26" s="48" t="str">
        <f t="shared" si="0"/>
        <v/>
      </c>
      <c r="AH26" s="48" t="str">
        <f t="shared" si="1"/>
        <v/>
      </c>
      <c r="AI26" s="48">
        <f t="shared" si="2"/>
        <v>5</v>
      </c>
      <c r="AJ26" s="48">
        <f t="shared" si="3"/>
        <v>8</v>
      </c>
      <c r="AK26" s="36">
        <v>6</v>
      </c>
      <c r="AL26" s="36">
        <v>5</v>
      </c>
    </row>
    <row r="27" spans="3:38" ht="15.75" customHeight="1" x14ac:dyDescent="0.25">
      <c r="I27" s="40">
        <v>7</v>
      </c>
      <c r="J27" s="40">
        <v>7</v>
      </c>
      <c r="K27" s="40">
        <v>4</v>
      </c>
      <c r="L27" s="40" t="s">
        <v>7</v>
      </c>
      <c r="M27" s="50">
        <f>((ABS(J27-6)^2)+ABS((K27-5)^2))^(1/2)</f>
        <v>1.4142135623730951</v>
      </c>
      <c r="P27" s="56">
        <v>4</v>
      </c>
      <c r="Q27" s="56">
        <v>4</v>
      </c>
      <c r="R27" s="56">
        <v>2</v>
      </c>
      <c r="S27" s="56" t="s">
        <v>9</v>
      </c>
      <c r="T27" s="53">
        <f t="shared" si="4"/>
        <v>3.6055512754639891</v>
      </c>
      <c r="U27" s="51"/>
      <c r="W27" s="57"/>
      <c r="X27" s="57"/>
      <c r="Y27" s="57"/>
      <c r="Z27" s="57"/>
      <c r="AA27" s="57"/>
      <c r="AB27" s="58"/>
      <c r="AC27" s="40">
        <v>16</v>
      </c>
      <c r="AD27" s="40">
        <v>6</v>
      </c>
      <c r="AE27" s="40">
        <v>8</v>
      </c>
      <c r="AF27" s="47" t="s">
        <v>9</v>
      </c>
      <c r="AG27" s="48" t="str">
        <f t="shared" si="0"/>
        <v/>
      </c>
      <c r="AH27" s="48" t="str">
        <f t="shared" si="1"/>
        <v/>
      </c>
      <c r="AI27" s="48">
        <f t="shared" si="2"/>
        <v>6</v>
      </c>
      <c r="AJ27" s="48">
        <f t="shared" si="3"/>
        <v>8</v>
      </c>
      <c r="AK27" s="36">
        <v>6</v>
      </c>
      <c r="AL27" s="36">
        <v>5</v>
      </c>
    </row>
    <row r="28" spans="3:38" ht="15.75" customHeight="1" x14ac:dyDescent="0.25">
      <c r="I28" s="40">
        <v>8</v>
      </c>
      <c r="J28" s="40">
        <v>8</v>
      </c>
      <c r="K28" s="40">
        <v>4</v>
      </c>
      <c r="L28" s="40" t="s">
        <v>7</v>
      </c>
      <c r="M28" s="50">
        <f>((ABS(J28-6)^2)+ABS((K28-5)^2))^(1/2)</f>
        <v>2.2360679774997898</v>
      </c>
      <c r="P28" s="56">
        <v>10</v>
      </c>
      <c r="Q28" s="56">
        <v>10</v>
      </c>
      <c r="R28" s="56">
        <v>5</v>
      </c>
      <c r="S28" s="56" t="s">
        <v>7</v>
      </c>
      <c r="T28" s="53">
        <f t="shared" si="4"/>
        <v>4</v>
      </c>
      <c r="U28" s="51"/>
      <c r="AC28" s="40">
        <v>17</v>
      </c>
      <c r="AD28" s="40">
        <v>7</v>
      </c>
      <c r="AE28" s="40">
        <v>9</v>
      </c>
      <c r="AF28" s="47" t="s">
        <v>7</v>
      </c>
      <c r="AG28" s="48">
        <f t="shared" si="0"/>
        <v>7</v>
      </c>
      <c r="AH28" s="48">
        <f t="shared" si="1"/>
        <v>9</v>
      </c>
      <c r="AI28" s="48" t="str">
        <f t="shared" si="2"/>
        <v/>
      </c>
      <c r="AJ28" s="48" t="str">
        <f t="shared" si="3"/>
        <v/>
      </c>
      <c r="AK28" s="36">
        <v>6</v>
      </c>
      <c r="AL28" s="36">
        <v>5</v>
      </c>
    </row>
    <row r="29" spans="3:38" ht="15.75" customHeight="1" x14ac:dyDescent="0.25">
      <c r="I29" s="40">
        <v>9</v>
      </c>
      <c r="J29" s="40">
        <v>9</v>
      </c>
      <c r="K29" s="40">
        <v>5</v>
      </c>
      <c r="L29" s="40" t="s">
        <v>9</v>
      </c>
      <c r="M29" s="50">
        <f>((ABS(J29-6)^2)+ABS((K29-5)^2))^(1/2)</f>
        <v>3</v>
      </c>
      <c r="P29" s="56">
        <v>12</v>
      </c>
      <c r="Q29" s="56">
        <v>2</v>
      </c>
      <c r="R29" s="56">
        <v>6</v>
      </c>
      <c r="S29" s="56" t="s">
        <v>9</v>
      </c>
      <c r="T29" s="53">
        <f t="shared" si="4"/>
        <v>4.1231056256176606</v>
      </c>
      <c r="U29" s="51"/>
      <c r="AC29" s="40">
        <v>18</v>
      </c>
      <c r="AD29" s="40">
        <v>8</v>
      </c>
      <c r="AE29" s="40">
        <v>9</v>
      </c>
      <c r="AF29" s="47" t="s">
        <v>7</v>
      </c>
      <c r="AG29" s="48">
        <f t="shared" si="0"/>
        <v>8</v>
      </c>
      <c r="AH29" s="48">
        <f t="shared" si="1"/>
        <v>9</v>
      </c>
      <c r="AI29" s="48" t="str">
        <f t="shared" si="2"/>
        <v/>
      </c>
      <c r="AJ29" s="48" t="str">
        <f t="shared" si="3"/>
        <v/>
      </c>
      <c r="AK29" s="36">
        <v>6</v>
      </c>
      <c r="AL29" s="36">
        <v>5</v>
      </c>
    </row>
    <row r="30" spans="3:38" ht="15.75" customHeight="1" x14ac:dyDescent="0.25">
      <c r="I30" s="40">
        <v>10</v>
      </c>
      <c r="J30" s="40">
        <v>10</v>
      </c>
      <c r="K30" s="40">
        <v>5</v>
      </c>
      <c r="L30" s="40" t="s">
        <v>7</v>
      </c>
      <c r="M30" s="50">
        <f>((ABS(J30-6)^2)+ABS((K30-5)^2))^(1/2)</f>
        <v>4</v>
      </c>
      <c r="P30" s="56">
        <v>17</v>
      </c>
      <c r="Q30" s="56">
        <v>7</v>
      </c>
      <c r="R30" s="56">
        <v>9</v>
      </c>
      <c r="S30" s="56" t="s">
        <v>7</v>
      </c>
      <c r="T30" s="53">
        <f t="shared" si="4"/>
        <v>4.1231056256176606</v>
      </c>
      <c r="U30" s="51"/>
      <c r="AC30" s="40">
        <v>19</v>
      </c>
      <c r="AD30" s="40">
        <v>9</v>
      </c>
      <c r="AE30" s="40">
        <v>10</v>
      </c>
      <c r="AF30" s="47" t="s">
        <v>9</v>
      </c>
      <c r="AG30" s="48" t="str">
        <f t="shared" si="0"/>
        <v/>
      </c>
      <c r="AH30" s="48" t="str">
        <f t="shared" si="1"/>
        <v/>
      </c>
      <c r="AI30" s="48">
        <f t="shared" si="2"/>
        <v>9</v>
      </c>
      <c r="AJ30" s="48">
        <f t="shared" si="3"/>
        <v>10</v>
      </c>
      <c r="AK30" s="36">
        <v>6</v>
      </c>
      <c r="AL30" s="36">
        <v>5</v>
      </c>
    </row>
    <row r="31" spans="3:38" ht="15.75" customHeight="1" x14ac:dyDescent="0.25">
      <c r="I31" s="40">
        <v>11</v>
      </c>
      <c r="J31" s="40">
        <v>1</v>
      </c>
      <c r="K31" s="40">
        <v>6</v>
      </c>
      <c r="L31" s="40" t="s">
        <v>9</v>
      </c>
      <c r="M31" s="50">
        <f>((ABS(J31-6)^2)+ABS((K31-5)^2))^(1/2)</f>
        <v>5.0990195135927845</v>
      </c>
      <c r="P31" s="56">
        <v>3</v>
      </c>
      <c r="Q31" s="56">
        <v>3</v>
      </c>
      <c r="R31" s="56">
        <v>2</v>
      </c>
      <c r="S31" s="56" t="s">
        <v>7</v>
      </c>
      <c r="T31" s="53">
        <f t="shared" si="4"/>
        <v>4.2426406871192848</v>
      </c>
      <c r="U31" s="51"/>
      <c r="AC31" s="40">
        <v>20</v>
      </c>
      <c r="AD31" s="40">
        <v>10</v>
      </c>
      <c r="AE31" s="40">
        <v>10</v>
      </c>
      <c r="AF31" s="47" t="s">
        <v>7</v>
      </c>
      <c r="AG31" s="48">
        <f t="shared" si="0"/>
        <v>10</v>
      </c>
      <c r="AH31" s="48">
        <f t="shared" si="1"/>
        <v>10</v>
      </c>
      <c r="AI31" s="48" t="str">
        <f t="shared" si="2"/>
        <v/>
      </c>
      <c r="AJ31" s="48" t="str">
        <f t="shared" si="3"/>
        <v/>
      </c>
      <c r="AK31" s="36">
        <v>6</v>
      </c>
      <c r="AL31" s="36">
        <v>5</v>
      </c>
    </row>
    <row r="32" spans="3:38" ht="15.75" customHeight="1" x14ac:dyDescent="0.25">
      <c r="I32" s="40">
        <v>12</v>
      </c>
      <c r="J32" s="40">
        <v>2</v>
      </c>
      <c r="K32" s="40">
        <v>6</v>
      </c>
      <c r="L32" s="40" t="s">
        <v>9</v>
      </c>
      <c r="M32" s="50">
        <f>((ABS(J32-6)^2)+ABS((K32-5)^2))^(1/2)</f>
        <v>4.1231056256176606</v>
      </c>
      <c r="P32" s="56">
        <v>18</v>
      </c>
      <c r="Q32" s="56">
        <v>8</v>
      </c>
      <c r="R32" s="56">
        <v>9</v>
      </c>
      <c r="S32" s="56" t="s">
        <v>7</v>
      </c>
      <c r="T32" s="53">
        <f t="shared" si="4"/>
        <v>4.4721359549995796</v>
      </c>
      <c r="U32" s="51"/>
    </row>
    <row r="33" spans="9:35" ht="15.75" customHeight="1" x14ac:dyDescent="0.25">
      <c r="I33" s="40">
        <v>13</v>
      </c>
      <c r="J33" s="40">
        <v>3</v>
      </c>
      <c r="K33" s="40">
        <v>7</v>
      </c>
      <c r="L33" s="40" t="s">
        <v>7</v>
      </c>
      <c r="M33" s="50">
        <f>((ABS(J33-6)^2)+ABS((K33-5)^2))^(1/2)</f>
        <v>3.6055512754639891</v>
      </c>
      <c r="P33" s="56">
        <v>11</v>
      </c>
      <c r="Q33" s="56">
        <v>1</v>
      </c>
      <c r="R33" s="56">
        <v>6</v>
      </c>
      <c r="S33" s="56" t="s">
        <v>9</v>
      </c>
      <c r="T33" s="53">
        <f t="shared" si="4"/>
        <v>5.0990195135927845</v>
      </c>
      <c r="U33" s="51"/>
    </row>
    <row r="34" spans="9:35" ht="15.75" customHeight="1" x14ac:dyDescent="0.25">
      <c r="I34" s="40">
        <v>14</v>
      </c>
      <c r="J34" s="40">
        <v>4</v>
      </c>
      <c r="K34" s="40">
        <v>7</v>
      </c>
      <c r="L34" s="40" t="s">
        <v>7</v>
      </c>
      <c r="M34" s="50">
        <f>((ABS(J34-6)^2)+ABS((K34-5)^2))^(1/2)</f>
        <v>2.8284271247461903</v>
      </c>
      <c r="P34" s="56">
        <v>2</v>
      </c>
      <c r="Q34" s="56">
        <v>2</v>
      </c>
      <c r="R34" s="56">
        <v>1</v>
      </c>
      <c r="S34" s="56" t="s">
        <v>7</v>
      </c>
      <c r="T34" s="53">
        <f t="shared" si="4"/>
        <v>5.6568542494923806</v>
      </c>
      <c r="U34" s="51"/>
      <c r="AC34" s="59" t="s">
        <v>14</v>
      </c>
      <c r="AD34" s="43"/>
      <c r="AE34" s="43"/>
      <c r="AF34" s="43"/>
    </row>
    <row r="35" spans="9:35" ht="15.75" customHeight="1" x14ac:dyDescent="0.25">
      <c r="I35" s="40">
        <v>15</v>
      </c>
      <c r="J35" s="40">
        <v>5</v>
      </c>
      <c r="K35" s="40">
        <v>8</v>
      </c>
      <c r="L35" s="40" t="s">
        <v>9</v>
      </c>
      <c r="M35" s="50">
        <f>((ABS(J35-6)^2)+ABS((K35-5)^2))^(1/2)</f>
        <v>3.1622776601683795</v>
      </c>
      <c r="P35" s="56">
        <v>19</v>
      </c>
      <c r="Q35" s="56">
        <v>9</v>
      </c>
      <c r="R35" s="56">
        <v>10</v>
      </c>
      <c r="S35" s="56" t="s">
        <v>9</v>
      </c>
      <c r="T35" s="53">
        <f t="shared" si="4"/>
        <v>5.8309518948453007</v>
      </c>
      <c r="U35" s="51"/>
      <c r="AC35" s="43"/>
      <c r="AD35" s="43"/>
      <c r="AE35" s="43"/>
      <c r="AF35" s="43"/>
    </row>
    <row r="36" spans="9:35" ht="15.75" customHeight="1" x14ac:dyDescent="0.25">
      <c r="I36" s="40">
        <v>16</v>
      </c>
      <c r="J36" s="40">
        <v>6</v>
      </c>
      <c r="K36" s="40">
        <v>8</v>
      </c>
      <c r="L36" s="40" t="s">
        <v>9</v>
      </c>
      <c r="M36" s="50">
        <f>((ABS(J36-6)^2)+ABS((K36-5)^2))^(1/2)</f>
        <v>3</v>
      </c>
      <c r="P36" s="56">
        <v>1</v>
      </c>
      <c r="Q36" s="56">
        <v>1</v>
      </c>
      <c r="R36" s="56">
        <v>1</v>
      </c>
      <c r="S36" s="56" t="s">
        <v>7</v>
      </c>
      <c r="T36" s="53">
        <f t="shared" si="4"/>
        <v>6.4031242374328485</v>
      </c>
      <c r="U36" s="51"/>
    </row>
    <row r="37" spans="9:35" ht="15.75" customHeight="1" x14ac:dyDescent="0.25">
      <c r="I37" s="40">
        <v>17</v>
      </c>
      <c r="J37" s="40">
        <v>7</v>
      </c>
      <c r="K37" s="40">
        <v>9</v>
      </c>
      <c r="L37" s="40" t="s">
        <v>7</v>
      </c>
      <c r="M37" s="50">
        <f>((ABS(J37-6)^2)+ABS((K37-5)^2))^(1/2)</f>
        <v>4.1231056256176606</v>
      </c>
      <c r="P37" s="56">
        <v>20</v>
      </c>
      <c r="Q37" s="56">
        <v>10</v>
      </c>
      <c r="R37" s="56">
        <v>10</v>
      </c>
      <c r="S37" s="56" t="s">
        <v>7</v>
      </c>
      <c r="T37" s="53">
        <f t="shared" si="4"/>
        <v>6.4031242374328485</v>
      </c>
      <c r="U37" s="51"/>
      <c r="AC37" s="39" t="s">
        <v>2</v>
      </c>
      <c r="AD37" s="39" t="s">
        <v>3</v>
      </c>
      <c r="AE37" s="39" t="s">
        <v>4</v>
      </c>
      <c r="AF37" s="39" t="s">
        <v>5</v>
      </c>
      <c r="AG37" s="44" t="s">
        <v>16</v>
      </c>
      <c r="AH37" s="60" t="s">
        <v>25</v>
      </c>
      <c r="AI37" s="60" t="s">
        <v>26</v>
      </c>
    </row>
    <row r="38" spans="9:35" ht="15.75" customHeight="1" x14ac:dyDescent="0.25">
      <c r="I38" s="40">
        <v>18</v>
      </c>
      <c r="J38" s="40">
        <v>8</v>
      </c>
      <c r="K38" s="40">
        <v>9</v>
      </c>
      <c r="L38" s="40" t="s">
        <v>7</v>
      </c>
      <c r="M38" s="50">
        <f>((ABS(J38-6)^2)+ABS((K38-5)^2))^(1/2)</f>
        <v>4.4721359549995796</v>
      </c>
      <c r="AC38" s="52">
        <v>14</v>
      </c>
      <c r="AD38" s="52">
        <v>4</v>
      </c>
      <c r="AE38" s="52">
        <v>7</v>
      </c>
      <c r="AF38" s="52" t="s">
        <v>7</v>
      </c>
      <c r="AG38" s="61">
        <f t="shared" ref="AG38:AG57" si="5">((ABS(AD38-5)^2)+(ABS(AE38-6)^2))^(1/2)</f>
        <v>1.4142135623730951</v>
      </c>
      <c r="AH38" s="48">
        <f>AD38</f>
        <v>4</v>
      </c>
      <c r="AI38" s="48">
        <f>AE38</f>
        <v>7</v>
      </c>
    </row>
    <row r="39" spans="9:35" ht="15.75" customHeight="1" x14ac:dyDescent="0.25">
      <c r="I39" s="40">
        <v>19</v>
      </c>
      <c r="J39" s="40">
        <v>9</v>
      </c>
      <c r="K39" s="40">
        <v>10</v>
      </c>
      <c r="L39" s="40" t="s">
        <v>9</v>
      </c>
      <c r="M39" s="50">
        <f>((ABS(J39-6)^2)+ABS((K39-5)^2))^(1/2)</f>
        <v>5.8309518948453007</v>
      </c>
      <c r="AC39" s="52">
        <v>15</v>
      </c>
      <c r="AD39" s="52">
        <v>5</v>
      </c>
      <c r="AE39" s="52">
        <v>8</v>
      </c>
      <c r="AF39" s="52" t="s">
        <v>9</v>
      </c>
      <c r="AG39" s="61">
        <f t="shared" si="5"/>
        <v>2</v>
      </c>
      <c r="AH39" s="48">
        <f t="shared" ref="AH39:AH42" si="6">AD39</f>
        <v>5</v>
      </c>
      <c r="AI39" s="48">
        <f t="shared" ref="AI39:AI42" si="7">AE39</f>
        <v>8</v>
      </c>
    </row>
    <row r="40" spans="9:35" ht="15.75" customHeight="1" x14ac:dyDescent="0.25">
      <c r="I40" s="40">
        <v>20</v>
      </c>
      <c r="J40" s="40">
        <v>10</v>
      </c>
      <c r="K40" s="40">
        <v>10</v>
      </c>
      <c r="L40" s="40" t="s">
        <v>7</v>
      </c>
      <c r="M40" s="50">
        <f>((ABS(J40-6)^2)+ABS((K40-5)^2))^(1/2)</f>
        <v>6.4031242374328485</v>
      </c>
      <c r="AC40" s="52">
        <v>13</v>
      </c>
      <c r="AD40" s="52">
        <v>3</v>
      </c>
      <c r="AE40" s="52">
        <v>7</v>
      </c>
      <c r="AF40" s="52" t="s">
        <v>7</v>
      </c>
      <c r="AG40" s="61">
        <f t="shared" si="5"/>
        <v>2.2360679774997898</v>
      </c>
      <c r="AH40" s="48">
        <f t="shared" si="6"/>
        <v>3</v>
      </c>
      <c r="AI40" s="48">
        <f t="shared" si="7"/>
        <v>7</v>
      </c>
    </row>
    <row r="41" spans="9:35" ht="15.75" customHeight="1" x14ac:dyDescent="0.25">
      <c r="AC41" s="52">
        <v>16</v>
      </c>
      <c r="AD41" s="52">
        <v>6</v>
      </c>
      <c r="AE41" s="52">
        <v>8</v>
      </c>
      <c r="AF41" s="52" t="s">
        <v>9</v>
      </c>
      <c r="AG41" s="61">
        <f t="shared" si="5"/>
        <v>2.2360679774997898</v>
      </c>
      <c r="AH41" s="48">
        <f t="shared" si="6"/>
        <v>6</v>
      </c>
      <c r="AI41" s="48">
        <f t="shared" si="7"/>
        <v>8</v>
      </c>
    </row>
    <row r="42" spans="9:35" ht="15.75" customHeight="1" x14ac:dyDescent="0.25">
      <c r="AC42" s="52">
        <v>7</v>
      </c>
      <c r="AD42" s="52">
        <v>7</v>
      </c>
      <c r="AE42" s="52">
        <v>4</v>
      </c>
      <c r="AF42" s="52" t="s">
        <v>7</v>
      </c>
      <c r="AG42" s="63">
        <f t="shared" si="5"/>
        <v>2.8284271247461903</v>
      </c>
      <c r="AH42" s="48">
        <f t="shared" si="6"/>
        <v>7</v>
      </c>
      <c r="AI42" s="48">
        <f t="shared" si="7"/>
        <v>4</v>
      </c>
    </row>
    <row r="43" spans="9:35" ht="15.75" customHeight="1" x14ac:dyDescent="0.25">
      <c r="AC43" s="56">
        <v>5</v>
      </c>
      <c r="AD43" s="56">
        <v>5</v>
      </c>
      <c r="AE43" s="56">
        <v>3</v>
      </c>
      <c r="AF43" s="62" t="s">
        <v>9</v>
      </c>
      <c r="AG43" s="64">
        <f t="shared" si="5"/>
        <v>3</v>
      </c>
    </row>
    <row r="44" spans="9:35" ht="15.75" customHeight="1" x14ac:dyDescent="0.25">
      <c r="AC44" s="56">
        <v>12</v>
      </c>
      <c r="AD44" s="56">
        <v>2</v>
      </c>
      <c r="AE44" s="56">
        <v>6</v>
      </c>
      <c r="AF44" s="62" t="s">
        <v>9</v>
      </c>
      <c r="AG44" s="64">
        <f t="shared" si="5"/>
        <v>3</v>
      </c>
    </row>
    <row r="45" spans="9:35" ht="15.75" customHeight="1" x14ac:dyDescent="0.25">
      <c r="AC45" s="40">
        <v>6</v>
      </c>
      <c r="AD45" s="40">
        <v>6</v>
      </c>
      <c r="AE45" s="40">
        <v>3</v>
      </c>
      <c r="AF45" s="47" t="s">
        <v>9</v>
      </c>
      <c r="AG45" s="64">
        <f t="shared" si="5"/>
        <v>3.1622776601683795</v>
      </c>
    </row>
    <row r="46" spans="9:35" ht="15.75" customHeight="1" x14ac:dyDescent="0.25">
      <c r="AC46" s="40">
        <v>8</v>
      </c>
      <c r="AD46" s="40">
        <v>8</v>
      </c>
      <c r="AE46" s="40">
        <v>4</v>
      </c>
      <c r="AF46" s="47" t="s">
        <v>7</v>
      </c>
      <c r="AG46" s="64">
        <f t="shared" si="5"/>
        <v>3.6055512754639891</v>
      </c>
    </row>
    <row r="47" spans="9:35" ht="15.75" customHeight="1" x14ac:dyDescent="0.25">
      <c r="AC47" s="40">
        <v>17</v>
      </c>
      <c r="AD47" s="40">
        <v>7</v>
      </c>
      <c r="AE47" s="40">
        <v>9</v>
      </c>
      <c r="AF47" s="47" t="s">
        <v>7</v>
      </c>
      <c r="AG47" s="64">
        <f t="shared" si="5"/>
        <v>3.6055512754639891</v>
      </c>
    </row>
    <row r="48" spans="9:35" ht="15.75" customHeight="1" x14ac:dyDescent="0.25">
      <c r="AC48" s="40">
        <v>11</v>
      </c>
      <c r="AD48" s="40">
        <v>1</v>
      </c>
      <c r="AE48" s="40">
        <v>6</v>
      </c>
      <c r="AF48" s="47" t="s">
        <v>9</v>
      </c>
      <c r="AG48" s="64">
        <f t="shared" si="5"/>
        <v>4</v>
      </c>
    </row>
    <row r="49" spans="29:33" ht="15.75" customHeight="1" x14ac:dyDescent="0.25">
      <c r="AC49" s="40">
        <v>4</v>
      </c>
      <c r="AD49" s="40">
        <v>4</v>
      </c>
      <c r="AE49" s="40">
        <v>2</v>
      </c>
      <c r="AF49" s="47" t="s">
        <v>9</v>
      </c>
      <c r="AG49" s="64">
        <f t="shared" si="5"/>
        <v>4.1231056256176606</v>
      </c>
    </row>
    <row r="50" spans="29:33" ht="15.75" customHeight="1" x14ac:dyDescent="0.25">
      <c r="AC50" s="40">
        <v>9</v>
      </c>
      <c r="AD50" s="40">
        <v>9</v>
      </c>
      <c r="AE50" s="40">
        <v>5</v>
      </c>
      <c r="AF50" s="47" t="s">
        <v>9</v>
      </c>
      <c r="AG50" s="64">
        <f t="shared" si="5"/>
        <v>4.1231056256176606</v>
      </c>
    </row>
    <row r="51" spans="29:33" ht="15.75" customHeight="1" x14ac:dyDescent="0.25">
      <c r="AC51" s="40">
        <v>18</v>
      </c>
      <c r="AD51" s="40">
        <v>8</v>
      </c>
      <c r="AE51" s="40">
        <v>9</v>
      </c>
      <c r="AF51" s="47" t="s">
        <v>7</v>
      </c>
      <c r="AG51" s="64">
        <f t="shared" si="5"/>
        <v>4.2426406871192848</v>
      </c>
    </row>
    <row r="52" spans="29:33" ht="15.75" customHeight="1" x14ac:dyDescent="0.25">
      <c r="AC52" s="40">
        <v>3</v>
      </c>
      <c r="AD52" s="40">
        <v>3</v>
      </c>
      <c r="AE52" s="40">
        <v>2</v>
      </c>
      <c r="AF52" s="47" t="s">
        <v>7</v>
      </c>
      <c r="AG52" s="64">
        <f t="shared" si="5"/>
        <v>4.4721359549995796</v>
      </c>
    </row>
    <row r="53" spans="29:33" ht="15.75" customHeight="1" x14ac:dyDescent="0.25">
      <c r="AC53" s="40">
        <v>10</v>
      </c>
      <c r="AD53" s="40">
        <v>10</v>
      </c>
      <c r="AE53" s="40">
        <v>5</v>
      </c>
      <c r="AF53" s="47" t="s">
        <v>7</v>
      </c>
      <c r="AG53" s="64">
        <f t="shared" si="5"/>
        <v>5.0990195135927845</v>
      </c>
    </row>
    <row r="54" spans="29:33" ht="15.75" customHeight="1" x14ac:dyDescent="0.25">
      <c r="AC54" s="40">
        <v>19</v>
      </c>
      <c r="AD54" s="40">
        <v>9</v>
      </c>
      <c r="AE54" s="40">
        <v>10</v>
      </c>
      <c r="AF54" s="47" t="s">
        <v>9</v>
      </c>
      <c r="AG54" s="64">
        <f t="shared" si="5"/>
        <v>5.6568542494923806</v>
      </c>
    </row>
    <row r="55" spans="29:33" ht="15.75" customHeight="1" x14ac:dyDescent="0.25">
      <c r="AC55" s="40">
        <v>2</v>
      </c>
      <c r="AD55" s="40">
        <v>2</v>
      </c>
      <c r="AE55" s="40">
        <v>1</v>
      </c>
      <c r="AF55" s="47" t="s">
        <v>7</v>
      </c>
      <c r="AG55" s="64">
        <f t="shared" si="5"/>
        <v>5.8309518948453007</v>
      </c>
    </row>
    <row r="56" spans="29:33" ht="15.75" customHeight="1" x14ac:dyDescent="0.25">
      <c r="AC56" s="40">
        <v>1</v>
      </c>
      <c r="AD56" s="40">
        <v>1</v>
      </c>
      <c r="AE56" s="40">
        <v>1</v>
      </c>
      <c r="AF56" s="47" t="s">
        <v>7</v>
      </c>
      <c r="AG56" s="64">
        <f t="shared" si="5"/>
        <v>6.4031242374328485</v>
      </c>
    </row>
    <row r="57" spans="29:33" ht="15.75" customHeight="1" x14ac:dyDescent="0.25">
      <c r="AC57" s="40">
        <v>20</v>
      </c>
      <c r="AD57" s="40">
        <v>10</v>
      </c>
      <c r="AE57" s="40">
        <v>10</v>
      </c>
      <c r="AF57" s="47" t="s">
        <v>7</v>
      </c>
      <c r="AG57" s="64">
        <f t="shared" si="5"/>
        <v>6.4031242374328485</v>
      </c>
    </row>
    <row r="58" spans="29:33" ht="15.75" customHeight="1" x14ac:dyDescent="0.25"/>
    <row r="59" spans="29:33" ht="15.75" customHeight="1" x14ac:dyDescent="0.25"/>
    <row r="60" spans="29:33" ht="15.75" customHeight="1" x14ac:dyDescent="0.25"/>
    <row r="61" spans="29:33" ht="15.75" customHeight="1" x14ac:dyDescent="0.25"/>
    <row r="62" spans="29:33" ht="15.75" customHeight="1" x14ac:dyDescent="0.25"/>
    <row r="63" spans="29:33" ht="15.75" customHeight="1" x14ac:dyDescent="0.25"/>
    <row r="64" spans="29:33" ht="15.75" customHeight="1" x14ac:dyDescent="0.25"/>
    <row r="65" s="36" customFormat="1" ht="15.75" customHeight="1" x14ac:dyDescent="0.25"/>
    <row r="66" s="36" customFormat="1" ht="15.75" customHeight="1" x14ac:dyDescent="0.25"/>
    <row r="67" s="36" customFormat="1" ht="15.75" customHeight="1" x14ac:dyDescent="0.25"/>
    <row r="68" s="36" customFormat="1" ht="15.75" customHeight="1" x14ac:dyDescent="0.25"/>
    <row r="69" s="36" customFormat="1" ht="15.75" customHeight="1" x14ac:dyDescent="0.25"/>
    <row r="70" s="36" customFormat="1" ht="15.75" customHeight="1" x14ac:dyDescent="0.25"/>
    <row r="71" s="36" customFormat="1" ht="15.75" customHeight="1" x14ac:dyDescent="0.25"/>
    <row r="72" s="36" customFormat="1" ht="15.75" customHeight="1" x14ac:dyDescent="0.25"/>
    <row r="73" s="36" customFormat="1" ht="15.75" customHeight="1" x14ac:dyDescent="0.25"/>
    <row r="74" s="36" customFormat="1" ht="15.75" customHeight="1" x14ac:dyDescent="0.25"/>
    <row r="75" s="36" customFormat="1" ht="15.75" customHeight="1" x14ac:dyDescent="0.25"/>
    <row r="76" s="36" customFormat="1" ht="15.75" customHeight="1" x14ac:dyDescent="0.25"/>
    <row r="77" s="36" customFormat="1" ht="15.75" customHeight="1" x14ac:dyDescent="0.25"/>
    <row r="78" s="36" customFormat="1" ht="15.75" customHeight="1" x14ac:dyDescent="0.25"/>
    <row r="79" s="36" customFormat="1" ht="15.75" customHeight="1" x14ac:dyDescent="0.25"/>
    <row r="80" s="36" customFormat="1" ht="15.75" customHeight="1" x14ac:dyDescent="0.25"/>
    <row r="81" s="36" customFormat="1" ht="15.75" customHeight="1" x14ac:dyDescent="0.25"/>
    <row r="82" s="36" customFormat="1" ht="15.75" customHeight="1" x14ac:dyDescent="0.25"/>
    <row r="83" s="36" customFormat="1" ht="15.75" customHeight="1" x14ac:dyDescent="0.25"/>
    <row r="84" s="36" customFormat="1" ht="15.75" customHeight="1" x14ac:dyDescent="0.25"/>
    <row r="85" s="36" customFormat="1" ht="15.75" customHeight="1" x14ac:dyDescent="0.25"/>
    <row r="86" s="36" customFormat="1" ht="15.75" customHeight="1" x14ac:dyDescent="0.25"/>
    <row r="87" s="36" customFormat="1" ht="15.75" customHeight="1" x14ac:dyDescent="0.25"/>
    <row r="88" s="36" customFormat="1" ht="15.75" customHeight="1" x14ac:dyDescent="0.25"/>
    <row r="89" s="36" customFormat="1" ht="15.75" customHeight="1" x14ac:dyDescent="0.25"/>
    <row r="90" s="36" customFormat="1" ht="15.75" customHeight="1" x14ac:dyDescent="0.25"/>
    <row r="91" s="36" customFormat="1" ht="15.75" customHeight="1" x14ac:dyDescent="0.25"/>
    <row r="92" s="36" customFormat="1" ht="15.75" customHeight="1" x14ac:dyDescent="0.25"/>
    <row r="93" s="36" customFormat="1" ht="15.75" customHeight="1" x14ac:dyDescent="0.25"/>
    <row r="94" s="36" customFormat="1" ht="15.75" customHeight="1" x14ac:dyDescent="0.25"/>
    <row r="95" s="36" customFormat="1" ht="15.75" customHeight="1" x14ac:dyDescent="0.25"/>
    <row r="96" s="36" customFormat="1" ht="15.75" customHeight="1" x14ac:dyDescent="0.25"/>
    <row r="97" s="36" customFormat="1" ht="15.75" customHeight="1" x14ac:dyDescent="0.25"/>
    <row r="98" s="36" customFormat="1" ht="15.75" customHeight="1" x14ac:dyDescent="0.25"/>
    <row r="99" s="36" customFormat="1" ht="15.75" customHeight="1" x14ac:dyDescent="0.25"/>
    <row r="100" s="36" customFormat="1" ht="15.75" customHeight="1" x14ac:dyDescent="0.25"/>
    <row r="101" s="36" customFormat="1" ht="15.75" customHeight="1" x14ac:dyDescent="0.25"/>
    <row r="102" s="36" customFormat="1" ht="15.75" customHeight="1" x14ac:dyDescent="0.25"/>
    <row r="103" s="36" customFormat="1" ht="15.75" customHeight="1" x14ac:dyDescent="0.25"/>
    <row r="104" s="36" customFormat="1" ht="15.75" customHeight="1" x14ac:dyDescent="0.25"/>
    <row r="105" s="36" customFormat="1" ht="15.75" customHeight="1" x14ac:dyDescent="0.25"/>
    <row r="106" s="36" customFormat="1" ht="15.75" customHeight="1" x14ac:dyDescent="0.25"/>
    <row r="107" s="36" customFormat="1" ht="15.75" customHeight="1" x14ac:dyDescent="0.25"/>
    <row r="108" s="36" customFormat="1" ht="15.75" customHeight="1" x14ac:dyDescent="0.25"/>
    <row r="109" s="36" customFormat="1" ht="15.75" customHeight="1" x14ac:dyDescent="0.25"/>
    <row r="110" s="36" customFormat="1" ht="15.75" customHeight="1" x14ac:dyDescent="0.25"/>
    <row r="111" s="36" customFormat="1" ht="15.75" customHeight="1" x14ac:dyDescent="0.25"/>
    <row r="112" s="36" customFormat="1" ht="15.75" customHeight="1" x14ac:dyDescent="0.25"/>
    <row r="113" s="36" customFormat="1" ht="15.75" customHeight="1" x14ac:dyDescent="0.25"/>
    <row r="114" s="36" customFormat="1" ht="15.75" customHeight="1" x14ac:dyDescent="0.25"/>
    <row r="115" s="36" customFormat="1" ht="15.75" customHeight="1" x14ac:dyDescent="0.25"/>
    <row r="116" s="36" customFormat="1" ht="15.75" customHeight="1" x14ac:dyDescent="0.25"/>
    <row r="117" s="36" customFormat="1" ht="15.75" customHeight="1" x14ac:dyDescent="0.25"/>
    <row r="118" s="36" customFormat="1" ht="15.75" customHeight="1" x14ac:dyDescent="0.25"/>
    <row r="119" s="36" customFormat="1" ht="15.75" customHeight="1" x14ac:dyDescent="0.25"/>
    <row r="120" s="36" customFormat="1" ht="15.75" customHeight="1" x14ac:dyDescent="0.25"/>
    <row r="121" s="36" customFormat="1" ht="15.75" customHeight="1" x14ac:dyDescent="0.25"/>
    <row r="122" s="36" customFormat="1" ht="15.75" customHeight="1" x14ac:dyDescent="0.25"/>
    <row r="123" s="36" customFormat="1" ht="15.75" customHeight="1" x14ac:dyDescent="0.25"/>
    <row r="124" s="36" customFormat="1" ht="15.75" customHeight="1" x14ac:dyDescent="0.25"/>
    <row r="125" s="36" customFormat="1" ht="15.75" customHeight="1" x14ac:dyDescent="0.25"/>
    <row r="126" s="36" customFormat="1" ht="15.75" customHeight="1" x14ac:dyDescent="0.25"/>
    <row r="127" s="36" customFormat="1" ht="15.75" customHeight="1" x14ac:dyDescent="0.25"/>
    <row r="128" s="36" customFormat="1" ht="15.75" customHeight="1" x14ac:dyDescent="0.25"/>
    <row r="129" s="36" customFormat="1" ht="15.75" customHeight="1" x14ac:dyDescent="0.25"/>
    <row r="130" s="36" customFormat="1" ht="15.75" customHeight="1" x14ac:dyDescent="0.25"/>
    <row r="131" s="36" customFormat="1" ht="15.75" customHeight="1" x14ac:dyDescent="0.25"/>
    <row r="132" s="36" customFormat="1" ht="15.75" customHeight="1" x14ac:dyDescent="0.25"/>
    <row r="133" s="36" customFormat="1" ht="15.75" customHeight="1" x14ac:dyDescent="0.25"/>
    <row r="134" s="36" customFormat="1" ht="15.75" customHeight="1" x14ac:dyDescent="0.25"/>
    <row r="135" s="36" customFormat="1" ht="15.75" customHeight="1" x14ac:dyDescent="0.25"/>
    <row r="136" s="36" customFormat="1" ht="15.75" customHeight="1" x14ac:dyDescent="0.25"/>
    <row r="137" s="36" customFormat="1" ht="15.75" customHeight="1" x14ac:dyDescent="0.25"/>
    <row r="138" s="36" customFormat="1" ht="15.75" customHeight="1" x14ac:dyDescent="0.25"/>
    <row r="139" s="36" customFormat="1" ht="15.75" customHeight="1" x14ac:dyDescent="0.25"/>
    <row r="140" s="36" customFormat="1" ht="15.75" customHeight="1" x14ac:dyDescent="0.25"/>
    <row r="141" s="36" customFormat="1" ht="15.75" customHeight="1" x14ac:dyDescent="0.25"/>
    <row r="142" s="36" customFormat="1" ht="15.75" customHeight="1" x14ac:dyDescent="0.25"/>
    <row r="143" s="36" customFormat="1" ht="15.75" customHeight="1" x14ac:dyDescent="0.25"/>
    <row r="144" s="36" customFormat="1" ht="15.75" customHeight="1" x14ac:dyDescent="0.25"/>
    <row r="145" s="36" customFormat="1" ht="15.75" customHeight="1" x14ac:dyDescent="0.25"/>
    <row r="146" s="36" customFormat="1" ht="15.75" customHeight="1" x14ac:dyDescent="0.25"/>
    <row r="147" s="36" customFormat="1" ht="15.75" customHeight="1" x14ac:dyDescent="0.25"/>
    <row r="148" s="36" customFormat="1" ht="15.75" customHeight="1" x14ac:dyDescent="0.25"/>
    <row r="149" s="36" customFormat="1" ht="15.75" customHeight="1" x14ac:dyDescent="0.25"/>
    <row r="150" s="36" customFormat="1" ht="15.75" customHeight="1" x14ac:dyDescent="0.25"/>
    <row r="151" s="36" customFormat="1" ht="15.75" customHeight="1" x14ac:dyDescent="0.25"/>
    <row r="152" s="36" customFormat="1" ht="15.75" customHeight="1" x14ac:dyDescent="0.25"/>
    <row r="153" s="36" customFormat="1" ht="15.75" customHeight="1" x14ac:dyDescent="0.25"/>
    <row r="154" s="36" customFormat="1" ht="15.75" customHeight="1" x14ac:dyDescent="0.25"/>
    <row r="155" s="36" customFormat="1" ht="15.75" customHeight="1" x14ac:dyDescent="0.25"/>
    <row r="156" s="36" customFormat="1" ht="15.75" customHeight="1" x14ac:dyDescent="0.25"/>
    <row r="157" s="36" customFormat="1" ht="15.75" customHeight="1" x14ac:dyDescent="0.25"/>
    <row r="158" s="36" customFormat="1" ht="15.75" customHeight="1" x14ac:dyDescent="0.25"/>
    <row r="159" s="36" customFormat="1" ht="15.75" customHeight="1" x14ac:dyDescent="0.25"/>
    <row r="160" s="36" customFormat="1" ht="15.75" customHeight="1" x14ac:dyDescent="0.25"/>
    <row r="161" s="36" customFormat="1" ht="15.75" customHeight="1" x14ac:dyDescent="0.25"/>
    <row r="162" s="36" customFormat="1" ht="15.75" customHeight="1" x14ac:dyDescent="0.25"/>
    <row r="163" s="36" customFormat="1" ht="15.75" customHeight="1" x14ac:dyDescent="0.25"/>
    <row r="164" s="36" customFormat="1" ht="15.75" customHeight="1" x14ac:dyDescent="0.25"/>
    <row r="165" s="36" customFormat="1" ht="15.75" customHeight="1" x14ac:dyDescent="0.25"/>
    <row r="166" s="36" customFormat="1" ht="15.75" customHeight="1" x14ac:dyDescent="0.25"/>
    <row r="167" s="36" customFormat="1" ht="15.75" customHeight="1" x14ac:dyDescent="0.25"/>
    <row r="168" s="36" customFormat="1" ht="15.75" customHeight="1" x14ac:dyDescent="0.25"/>
    <row r="169" s="36" customFormat="1" ht="15.75" customHeight="1" x14ac:dyDescent="0.25"/>
    <row r="170" s="36" customFormat="1" ht="15.75" customHeight="1" x14ac:dyDescent="0.25"/>
    <row r="171" s="36" customFormat="1" ht="15.75" customHeight="1" x14ac:dyDescent="0.25"/>
    <row r="172" s="36" customFormat="1" ht="15.75" customHeight="1" x14ac:dyDescent="0.25"/>
    <row r="173" s="36" customFormat="1" ht="15.75" customHeight="1" x14ac:dyDescent="0.25"/>
    <row r="174" s="36" customFormat="1" ht="15.75" customHeight="1" x14ac:dyDescent="0.25"/>
    <row r="175" s="36" customFormat="1" ht="15.75" customHeight="1" x14ac:dyDescent="0.25"/>
    <row r="176" s="36" customFormat="1" ht="15.75" customHeight="1" x14ac:dyDescent="0.25"/>
    <row r="177" s="36" customFormat="1" ht="15.75" customHeight="1" x14ac:dyDescent="0.25"/>
    <row r="178" s="36" customFormat="1" ht="15.75" customHeight="1" x14ac:dyDescent="0.25"/>
    <row r="179" s="36" customFormat="1" ht="15.75" customHeight="1" x14ac:dyDescent="0.25"/>
    <row r="180" s="36" customFormat="1" ht="15.75" customHeight="1" x14ac:dyDescent="0.25"/>
    <row r="181" s="36" customFormat="1" ht="15.75" customHeight="1" x14ac:dyDescent="0.25"/>
    <row r="182" s="36" customFormat="1" ht="15.75" customHeight="1" x14ac:dyDescent="0.25"/>
    <row r="183" s="36" customFormat="1" ht="15.75" customHeight="1" x14ac:dyDescent="0.25"/>
    <row r="184" s="36" customFormat="1" ht="15.75" customHeight="1" x14ac:dyDescent="0.25"/>
    <row r="185" s="36" customFormat="1" ht="15.75" customHeight="1" x14ac:dyDescent="0.25"/>
    <row r="186" s="36" customFormat="1" ht="15.75" customHeight="1" x14ac:dyDescent="0.25"/>
    <row r="187" s="36" customFormat="1" ht="15.75" customHeight="1" x14ac:dyDescent="0.25"/>
    <row r="188" s="36" customFormat="1" ht="15.75" customHeight="1" x14ac:dyDescent="0.25"/>
    <row r="189" s="36" customFormat="1" ht="15.75" customHeight="1" x14ac:dyDescent="0.25"/>
    <row r="190" s="36" customFormat="1" ht="15.75" customHeight="1" x14ac:dyDescent="0.25"/>
    <row r="191" s="36" customFormat="1" ht="15.75" customHeight="1" x14ac:dyDescent="0.25"/>
    <row r="192" s="36" customFormat="1" ht="15.75" customHeight="1" x14ac:dyDescent="0.25"/>
    <row r="193" s="36" customFormat="1" ht="15.75" customHeight="1" x14ac:dyDescent="0.25"/>
    <row r="194" s="36" customFormat="1" ht="15.75" customHeight="1" x14ac:dyDescent="0.25"/>
    <row r="195" s="36" customFormat="1" ht="15.75" customHeight="1" x14ac:dyDescent="0.25"/>
    <row r="196" s="36" customFormat="1" ht="15.75" customHeight="1" x14ac:dyDescent="0.25"/>
    <row r="197" s="36" customFormat="1" ht="15.75" customHeight="1" x14ac:dyDescent="0.25"/>
    <row r="198" s="36" customFormat="1" ht="15.75" customHeight="1" x14ac:dyDescent="0.25"/>
    <row r="199" s="36" customFormat="1" ht="15.75" customHeight="1" x14ac:dyDescent="0.25"/>
    <row r="200" s="36" customFormat="1" ht="15.75" customHeight="1" x14ac:dyDescent="0.25"/>
    <row r="201" s="36" customFormat="1" ht="15.75" customHeight="1" x14ac:dyDescent="0.25"/>
    <row r="202" s="36" customFormat="1" ht="15.75" customHeight="1" x14ac:dyDescent="0.25"/>
    <row r="203" s="36" customFormat="1" ht="15.75" customHeight="1" x14ac:dyDescent="0.25"/>
    <row r="204" s="36" customFormat="1" ht="15.75" customHeight="1" x14ac:dyDescent="0.25"/>
    <row r="205" s="36" customFormat="1" ht="15.75" customHeight="1" x14ac:dyDescent="0.25"/>
    <row r="206" s="36" customFormat="1" ht="15.75" customHeight="1" x14ac:dyDescent="0.25"/>
    <row r="207" s="36" customFormat="1" ht="15.75" customHeight="1" x14ac:dyDescent="0.25"/>
    <row r="208" s="36" customFormat="1" ht="15.75" customHeight="1" x14ac:dyDescent="0.25"/>
    <row r="209" s="36" customFormat="1" ht="15.75" customHeight="1" x14ac:dyDescent="0.25"/>
    <row r="210" s="36" customFormat="1" ht="15.75" customHeight="1" x14ac:dyDescent="0.25"/>
    <row r="211" s="36" customFormat="1" ht="15.75" customHeight="1" x14ac:dyDescent="0.25"/>
    <row r="212" s="36" customFormat="1" ht="15.75" customHeight="1" x14ac:dyDescent="0.25"/>
    <row r="213" s="36" customFormat="1" ht="15.75" customHeight="1" x14ac:dyDescent="0.25"/>
    <row r="214" s="36" customFormat="1" ht="15.75" customHeight="1" x14ac:dyDescent="0.25"/>
    <row r="215" s="36" customFormat="1" ht="15.75" customHeight="1" x14ac:dyDescent="0.25"/>
    <row r="216" s="36" customFormat="1" ht="15.75" customHeight="1" x14ac:dyDescent="0.25"/>
    <row r="217" s="36" customFormat="1" ht="15.75" customHeight="1" x14ac:dyDescent="0.25"/>
    <row r="218" s="36" customFormat="1" ht="15.75" customHeight="1" x14ac:dyDescent="0.25"/>
    <row r="219" s="36" customFormat="1" ht="15.75" customHeight="1" x14ac:dyDescent="0.25"/>
    <row r="220" s="36" customFormat="1" ht="15.75" customHeight="1" x14ac:dyDescent="0.25"/>
    <row r="221" s="36" customFormat="1" ht="15.75" customHeight="1" x14ac:dyDescent="0.25"/>
    <row r="222" s="36" customFormat="1" ht="15.75" customHeight="1" x14ac:dyDescent="0.25"/>
    <row r="223" s="36" customFormat="1" ht="15.75" customHeight="1" x14ac:dyDescent="0.25"/>
    <row r="224" s="36" customFormat="1" ht="15.75" customHeight="1" x14ac:dyDescent="0.25"/>
    <row r="225" s="36" customFormat="1" ht="15.75" customHeight="1" x14ac:dyDescent="0.25"/>
    <row r="226" s="36" customFormat="1" ht="15.75" customHeight="1" x14ac:dyDescent="0.25"/>
    <row r="227" s="36" customFormat="1" ht="15.75" customHeight="1" x14ac:dyDescent="0.25"/>
    <row r="228" s="36" customFormat="1" ht="15.75" customHeight="1" x14ac:dyDescent="0.25"/>
    <row r="229" s="36" customFormat="1" ht="15.75" customHeight="1" x14ac:dyDescent="0.25"/>
    <row r="230" s="36" customFormat="1" ht="15.75" customHeight="1" x14ac:dyDescent="0.25"/>
    <row r="231" s="36" customFormat="1" ht="15.75" customHeight="1" x14ac:dyDescent="0.25"/>
    <row r="232" s="36" customFormat="1" ht="15.75" customHeight="1" x14ac:dyDescent="0.25"/>
    <row r="233" s="36" customFormat="1" ht="15.75" customHeight="1" x14ac:dyDescent="0.25"/>
    <row r="234" s="36" customFormat="1" ht="15.75" customHeight="1" x14ac:dyDescent="0.25"/>
    <row r="235" s="36" customFormat="1" ht="15.75" customHeight="1" x14ac:dyDescent="0.25"/>
    <row r="236" s="36" customFormat="1" ht="15.75" customHeight="1" x14ac:dyDescent="0.25"/>
    <row r="237" s="36" customFormat="1" ht="15.75" customHeight="1" x14ac:dyDescent="0.25"/>
    <row r="238" s="36" customFormat="1" ht="15.75" customHeight="1" x14ac:dyDescent="0.25"/>
    <row r="239" s="36" customFormat="1" ht="15.75" customHeight="1" x14ac:dyDescent="0.25"/>
    <row r="240" s="36" customFormat="1" ht="15.75" customHeight="1" x14ac:dyDescent="0.25"/>
    <row r="241" s="36" customFormat="1" ht="15.75" customHeight="1" x14ac:dyDescent="0.25"/>
    <row r="242" s="36" customFormat="1" ht="15.75" customHeight="1" x14ac:dyDescent="0.25"/>
    <row r="243" s="36" customFormat="1" ht="15.75" customHeight="1" x14ac:dyDescent="0.25"/>
    <row r="244" s="36" customFormat="1" ht="15.75" customHeight="1" x14ac:dyDescent="0.25"/>
    <row r="245" s="36" customFormat="1" ht="15.75" customHeight="1" x14ac:dyDescent="0.25"/>
    <row r="246" s="36" customFormat="1" ht="15.75" customHeight="1" x14ac:dyDescent="0.25"/>
    <row r="247" s="36" customFormat="1" ht="15.75" customHeight="1" x14ac:dyDescent="0.25"/>
    <row r="248" s="36" customFormat="1" ht="15.75" customHeight="1" x14ac:dyDescent="0.25"/>
    <row r="249" s="36" customFormat="1" ht="15.75" customHeight="1" x14ac:dyDescent="0.25"/>
    <row r="250" s="36" customFormat="1" ht="15.75" customHeight="1" x14ac:dyDescent="0.25"/>
    <row r="251" s="36" customFormat="1" ht="15.75" customHeight="1" x14ac:dyDescent="0.25"/>
    <row r="252" s="36" customFormat="1" ht="15.75" customHeight="1" x14ac:dyDescent="0.25"/>
    <row r="253" s="36" customFormat="1" ht="15.75" customHeight="1" x14ac:dyDescent="0.25"/>
    <row r="254" s="36" customFormat="1" ht="15.75" customHeight="1" x14ac:dyDescent="0.25"/>
    <row r="255" s="36" customFormat="1" ht="15.75" customHeight="1" x14ac:dyDescent="0.25"/>
    <row r="256" s="36" customFormat="1" ht="15.75" customHeight="1" x14ac:dyDescent="0.25"/>
    <row r="257" s="36" customFormat="1" ht="15.75" customHeight="1" x14ac:dyDescent="0.25"/>
    <row r="258" s="36" customFormat="1" ht="15.75" customHeight="1" x14ac:dyDescent="0.25"/>
    <row r="259" s="36" customFormat="1" ht="15.75" customHeight="1" x14ac:dyDescent="0.25"/>
    <row r="260" s="36" customFormat="1" ht="15.75" customHeight="1" x14ac:dyDescent="0.25"/>
    <row r="261" s="36" customFormat="1" ht="15.75" customHeight="1" x14ac:dyDescent="0.25"/>
    <row r="262" s="36" customFormat="1" ht="15.75" customHeight="1" x14ac:dyDescent="0.25"/>
    <row r="263" s="36" customFormat="1" ht="15.75" customHeight="1" x14ac:dyDescent="0.25"/>
    <row r="264" s="36" customFormat="1" ht="15.75" customHeight="1" x14ac:dyDescent="0.25"/>
    <row r="265" s="36" customFormat="1" ht="15.75" customHeight="1" x14ac:dyDescent="0.25"/>
    <row r="266" s="36" customFormat="1" ht="15.75" customHeight="1" x14ac:dyDescent="0.25"/>
    <row r="267" s="36" customFormat="1" ht="15.75" customHeight="1" x14ac:dyDescent="0.25"/>
    <row r="268" s="36" customFormat="1" ht="15.75" customHeight="1" x14ac:dyDescent="0.25"/>
    <row r="269" s="36" customFormat="1" ht="15.75" customHeight="1" x14ac:dyDescent="0.25"/>
    <row r="270" s="36" customFormat="1" ht="15.75" customHeight="1" x14ac:dyDescent="0.25"/>
    <row r="271" s="36" customFormat="1" ht="15.75" customHeight="1" x14ac:dyDescent="0.25"/>
    <row r="272" s="36" customFormat="1" ht="15.75" customHeight="1" x14ac:dyDescent="0.25"/>
    <row r="273" s="36" customFormat="1" ht="15.75" customHeight="1" x14ac:dyDescent="0.25"/>
    <row r="274" s="36" customFormat="1" ht="15.75" customHeight="1" x14ac:dyDescent="0.25"/>
    <row r="275" s="36" customFormat="1" ht="15.75" customHeight="1" x14ac:dyDescent="0.25"/>
    <row r="276" s="36" customFormat="1" ht="15.75" customHeight="1" x14ac:dyDescent="0.25"/>
    <row r="277" s="36" customFormat="1" ht="15.75" customHeight="1" x14ac:dyDescent="0.25"/>
    <row r="278" s="36" customFormat="1" ht="15.75" customHeight="1" x14ac:dyDescent="0.25"/>
    <row r="279" s="36" customFormat="1" ht="15.75" customHeight="1" x14ac:dyDescent="0.25"/>
    <row r="280" s="36" customFormat="1" ht="15.75" customHeight="1" x14ac:dyDescent="0.25"/>
    <row r="281" s="36" customFormat="1" ht="15.75" customHeight="1" x14ac:dyDescent="0.25"/>
    <row r="282" s="36" customFormat="1" ht="15.75" customHeight="1" x14ac:dyDescent="0.25"/>
    <row r="283" s="36" customFormat="1" ht="15.75" customHeight="1" x14ac:dyDescent="0.25"/>
    <row r="284" s="36" customFormat="1" ht="15.75" customHeight="1" x14ac:dyDescent="0.25"/>
    <row r="285" s="36" customFormat="1" ht="15.75" customHeight="1" x14ac:dyDescent="0.25"/>
    <row r="286" s="36" customFormat="1" ht="15.75" customHeight="1" x14ac:dyDescent="0.25"/>
    <row r="287" s="36" customFormat="1" ht="15.75" customHeight="1" x14ac:dyDescent="0.25"/>
    <row r="288" s="36" customFormat="1" ht="15.75" customHeight="1" x14ac:dyDescent="0.25"/>
    <row r="289" s="36" customFormat="1" ht="15.75" customHeight="1" x14ac:dyDescent="0.25"/>
    <row r="290" s="36" customFormat="1" ht="15.75" customHeight="1" x14ac:dyDescent="0.25"/>
    <row r="291" s="36" customFormat="1" ht="15.75" customHeight="1" x14ac:dyDescent="0.25"/>
    <row r="292" s="36" customFormat="1" ht="15.75" customHeight="1" x14ac:dyDescent="0.25"/>
    <row r="293" s="36" customFormat="1" ht="15.75" customHeight="1" x14ac:dyDescent="0.25"/>
    <row r="294" s="36" customFormat="1" ht="15.75" customHeight="1" x14ac:dyDescent="0.25"/>
    <row r="295" s="36" customFormat="1" ht="15.75" customHeight="1" x14ac:dyDescent="0.25"/>
    <row r="296" s="36" customFormat="1" ht="15.75" customHeight="1" x14ac:dyDescent="0.25"/>
    <row r="297" s="36" customFormat="1" ht="15.75" customHeight="1" x14ac:dyDescent="0.25"/>
    <row r="298" s="36" customFormat="1" ht="15.75" customHeight="1" x14ac:dyDescent="0.25"/>
    <row r="299" s="36" customFormat="1" ht="15.75" customHeight="1" x14ac:dyDescent="0.25"/>
    <row r="300" s="36" customFormat="1" ht="15.75" customHeight="1" x14ac:dyDescent="0.25"/>
    <row r="301" s="36" customFormat="1" ht="15.75" customHeight="1" x14ac:dyDescent="0.25"/>
    <row r="302" s="36" customFormat="1" ht="15.75" customHeight="1" x14ac:dyDescent="0.25"/>
    <row r="303" s="36" customFormat="1" ht="15.75" customHeight="1" x14ac:dyDescent="0.25"/>
    <row r="304" s="36" customFormat="1" ht="15.75" customHeight="1" x14ac:dyDescent="0.25"/>
    <row r="305" s="36" customFormat="1" ht="15.75" customHeight="1" x14ac:dyDescent="0.25"/>
    <row r="306" s="36" customFormat="1" ht="15.75" customHeight="1" x14ac:dyDescent="0.25"/>
    <row r="307" s="36" customFormat="1" ht="15.75" customHeight="1" x14ac:dyDescent="0.25"/>
    <row r="308" s="36" customFormat="1" ht="15.75" customHeight="1" x14ac:dyDescent="0.25"/>
    <row r="309" s="36" customFormat="1" ht="15.75" customHeight="1" x14ac:dyDescent="0.25"/>
    <row r="310" s="36" customFormat="1" ht="15.75" customHeight="1" x14ac:dyDescent="0.25"/>
    <row r="311" s="36" customFormat="1" ht="15.75" customHeight="1" x14ac:dyDescent="0.25"/>
    <row r="312" s="36" customFormat="1" ht="15.75" customHeight="1" x14ac:dyDescent="0.25"/>
    <row r="313" s="36" customFormat="1" ht="15.75" customHeight="1" x14ac:dyDescent="0.25"/>
    <row r="314" s="36" customFormat="1" ht="15.75" customHeight="1" x14ac:dyDescent="0.25"/>
    <row r="315" s="36" customFormat="1" ht="15.75" customHeight="1" x14ac:dyDescent="0.25"/>
    <row r="316" s="36" customFormat="1" ht="15.75" customHeight="1" x14ac:dyDescent="0.25"/>
    <row r="317" s="36" customFormat="1" ht="15.75" customHeight="1" x14ac:dyDescent="0.25"/>
    <row r="318" s="36" customFormat="1" ht="15.75" customHeight="1" x14ac:dyDescent="0.25"/>
    <row r="319" s="36" customFormat="1" ht="15.75" customHeight="1" x14ac:dyDescent="0.25"/>
    <row r="320" s="36" customFormat="1" ht="15.75" customHeight="1" x14ac:dyDescent="0.25"/>
    <row r="321" s="36" customFormat="1" ht="15.75" customHeight="1" x14ac:dyDescent="0.25"/>
    <row r="322" s="36" customFormat="1" ht="15.75" customHeight="1" x14ac:dyDescent="0.25"/>
    <row r="323" s="36" customFormat="1" ht="15.75" customHeight="1" x14ac:dyDescent="0.25"/>
    <row r="324" s="36" customFormat="1" ht="15.75" customHeight="1" x14ac:dyDescent="0.25"/>
    <row r="325" s="36" customFormat="1" ht="15.75" customHeight="1" x14ac:dyDescent="0.25"/>
    <row r="326" s="36" customFormat="1" ht="15.75" customHeight="1" x14ac:dyDescent="0.25"/>
    <row r="327" s="36" customFormat="1" ht="15.75" customHeight="1" x14ac:dyDescent="0.25"/>
    <row r="328" s="36" customFormat="1" ht="15.75" customHeight="1" x14ac:dyDescent="0.25"/>
    <row r="329" s="36" customFormat="1" ht="15.75" customHeight="1" x14ac:dyDescent="0.25"/>
    <row r="330" s="36" customFormat="1" ht="15.75" customHeight="1" x14ac:dyDescent="0.25"/>
    <row r="331" s="36" customFormat="1" ht="15.75" customHeight="1" x14ac:dyDescent="0.25"/>
    <row r="332" s="36" customFormat="1" ht="15.75" customHeight="1" x14ac:dyDescent="0.25"/>
    <row r="333" s="36" customFormat="1" ht="15.75" customHeight="1" x14ac:dyDescent="0.25"/>
    <row r="334" s="36" customFormat="1" ht="15.75" customHeight="1" x14ac:dyDescent="0.25"/>
    <row r="335" s="36" customFormat="1" ht="15.75" customHeight="1" x14ac:dyDescent="0.25"/>
    <row r="336" s="36" customFormat="1" ht="15.75" customHeight="1" x14ac:dyDescent="0.25"/>
    <row r="337" s="36" customFormat="1" ht="15.75" customHeight="1" x14ac:dyDescent="0.25"/>
    <row r="338" s="36" customFormat="1" ht="15.75" customHeight="1" x14ac:dyDescent="0.25"/>
    <row r="339" s="36" customFormat="1" ht="15.75" customHeight="1" x14ac:dyDescent="0.25"/>
    <row r="340" s="36" customFormat="1" ht="15.75" customHeight="1" x14ac:dyDescent="0.25"/>
    <row r="341" s="36" customFormat="1" ht="15.75" customHeight="1" x14ac:dyDescent="0.25"/>
    <row r="342" s="36" customFormat="1" ht="15.75" customHeight="1" x14ac:dyDescent="0.25"/>
    <row r="343" s="36" customFormat="1" ht="15.75" customHeight="1" x14ac:dyDescent="0.25"/>
    <row r="344" s="36" customFormat="1" ht="15.75" customHeight="1" x14ac:dyDescent="0.25"/>
    <row r="345" s="36" customFormat="1" ht="15.75" customHeight="1" x14ac:dyDescent="0.25"/>
    <row r="346" s="36" customFormat="1" ht="15.75" customHeight="1" x14ac:dyDescent="0.25"/>
    <row r="347" s="36" customFormat="1" ht="15.75" customHeight="1" x14ac:dyDescent="0.25"/>
    <row r="348" s="36" customFormat="1" ht="15.75" customHeight="1" x14ac:dyDescent="0.25"/>
    <row r="349" s="36" customFormat="1" ht="15.75" customHeight="1" x14ac:dyDescent="0.25"/>
    <row r="350" s="36" customFormat="1" ht="15.75" customHeight="1" x14ac:dyDescent="0.25"/>
    <row r="351" s="36" customFormat="1" ht="15.75" customHeight="1" x14ac:dyDescent="0.25"/>
    <row r="352" s="36" customFormat="1" ht="15.75" customHeight="1" x14ac:dyDescent="0.25"/>
    <row r="353" s="36" customFormat="1" ht="15.75" customHeight="1" x14ac:dyDescent="0.25"/>
    <row r="354" s="36" customFormat="1" ht="15.75" customHeight="1" x14ac:dyDescent="0.25"/>
    <row r="355" s="36" customFormat="1" ht="15.75" customHeight="1" x14ac:dyDescent="0.25"/>
    <row r="356" s="36" customFormat="1" ht="15.75" customHeight="1" x14ac:dyDescent="0.25"/>
    <row r="357" s="36" customFormat="1" ht="15.75" customHeight="1" x14ac:dyDescent="0.25"/>
    <row r="358" s="36" customFormat="1" ht="15.75" customHeight="1" x14ac:dyDescent="0.25"/>
    <row r="359" s="36" customFormat="1" ht="15.75" customHeight="1" x14ac:dyDescent="0.25"/>
    <row r="360" s="36" customFormat="1" ht="15.75" customHeight="1" x14ac:dyDescent="0.25"/>
    <row r="361" s="36" customFormat="1" ht="15.75" customHeight="1" x14ac:dyDescent="0.25"/>
    <row r="362" s="36" customFormat="1" ht="15.75" customHeight="1" x14ac:dyDescent="0.25"/>
    <row r="363" s="36" customFormat="1" ht="15.75" customHeight="1" x14ac:dyDescent="0.25"/>
    <row r="364" s="36" customFormat="1" ht="15.75" customHeight="1" x14ac:dyDescent="0.25"/>
    <row r="365" s="36" customFormat="1" ht="15.75" customHeight="1" x14ac:dyDescent="0.25"/>
    <row r="366" s="36" customFormat="1" ht="15.75" customHeight="1" x14ac:dyDescent="0.25"/>
    <row r="367" s="36" customFormat="1" ht="15.75" customHeight="1" x14ac:dyDescent="0.25"/>
    <row r="368" s="36" customFormat="1" ht="15.75" customHeight="1" x14ac:dyDescent="0.25"/>
    <row r="369" s="36" customFormat="1" ht="15.75" customHeight="1" x14ac:dyDescent="0.25"/>
    <row r="370" s="36" customFormat="1" ht="15.75" customHeight="1" x14ac:dyDescent="0.25"/>
    <row r="371" s="36" customFormat="1" ht="15.75" customHeight="1" x14ac:dyDescent="0.25"/>
    <row r="372" s="36" customFormat="1" ht="15.75" customHeight="1" x14ac:dyDescent="0.25"/>
    <row r="373" s="36" customFormat="1" ht="15.75" customHeight="1" x14ac:dyDescent="0.25"/>
    <row r="374" s="36" customFormat="1" ht="15.75" customHeight="1" x14ac:dyDescent="0.25"/>
    <row r="375" s="36" customFormat="1" ht="15.75" customHeight="1" x14ac:dyDescent="0.25"/>
    <row r="376" s="36" customFormat="1" ht="15.75" customHeight="1" x14ac:dyDescent="0.25"/>
    <row r="377" s="36" customFormat="1" ht="15.75" customHeight="1" x14ac:dyDescent="0.25"/>
    <row r="378" s="36" customFormat="1" ht="15.75" customHeight="1" x14ac:dyDescent="0.25"/>
    <row r="379" s="36" customFormat="1" ht="15.75" customHeight="1" x14ac:dyDescent="0.25"/>
    <row r="380" s="36" customFormat="1" ht="15.75" customHeight="1" x14ac:dyDescent="0.25"/>
    <row r="381" s="36" customFormat="1" ht="15.75" customHeight="1" x14ac:dyDescent="0.25"/>
    <row r="382" s="36" customFormat="1" ht="15.75" customHeight="1" x14ac:dyDescent="0.25"/>
    <row r="383" s="36" customFormat="1" ht="15.75" customHeight="1" x14ac:dyDescent="0.25"/>
    <row r="384" s="36" customFormat="1" ht="15.75" customHeight="1" x14ac:dyDescent="0.25"/>
    <row r="385" s="36" customFormat="1" ht="15.75" customHeight="1" x14ac:dyDescent="0.25"/>
    <row r="386" s="36" customFormat="1" ht="15.75" customHeight="1" x14ac:dyDescent="0.25"/>
    <row r="387" s="36" customFormat="1" ht="15.75" customHeight="1" x14ac:dyDescent="0.25"/>
    <row r="388" s="36" customFormat="1" ht="15.75" customHeight="1" x14ac:dyDescent="0.25"/>
    <row r="389" s="36" customFormat="1" ht="15.75" customHeight="1" x14ac:dyDescent="0.25"/>
    <row r="390" s="36" customFormat="1" ht="15.75" customHeight="1" x14ac:dyDescent="0.25"/>
    <row r="391" s="36" customFormat="1" ht="15.75" customHeight="1" x14ac:dyDescent="0.25"/>
    <row r="392" s="36" customFormat="1" ht="15.75" customHeight="1" x14ac:dyDescent="0.25"/>
    <row r="393" s="36" customFormat="1" ht="15.75" customHeight="1" x14ac:dyDescent="0.25"/>
    <row r="394" s="36" customFormat="1" ht="15.75" customHeight="1" x14ac:dyDescent="0.25"/>
    <row r="395" s="36" customFormat="1" ht="15.75" customHeight="1" x14ac:dyDescent="0.25"/>
    <row r="396" s="36" customFormat="1" ht="15.75" customHeight="1" x14ac:dyDescent="0.25"/>
    <row r="397" s="36" customFormat="1" ht="15.75" customHeight="1" x14ac:dyDescent="0.25"/>
    <row r="398" s="36" customFormat="1" ht="15.75" customHeight="1" x14ac:dyDescent="0.25"/>
    <row r="399" s="36" customFormat="1" ht="15.75" customHeight="1" x14ac:dyDescent="0.25"/>
    <row r="400" s="36" customFormat="1" ht="15.75" customHeight="1" x14ac:dyDescent="0.25"/>
    <row r="401" s="36" customFormat="1" ht="15.75" customHeight="1" x14ac:dyDescent="0.25"/>
    <row r="402" s="36" customFormat="1" ht="15.75" customHeight="1" x14ac:dyDescent="0.25"/>
    <row r="403" s="36" customFormat="1" ht="15.75" customHeight="1" x14ac:dyDescent="0.25"/>
    <row r="404" s="36" customFormat="1" ht="15.75" customHeight="1" x14ac:dyDescent="0.25"/>
    <row r="405" s="36" customFormat="1" ht="15.75" customHeight="1" x14ac:dyDescent="0.25"/>
    <row r="406" s="36" customFormat="1" ht="15.75" customHeight="1" x14ac:dyDescent="0.25"/>
    <row r="407" s="36" customFormat="1" ht="15.75" customHeight="1" x14ac:dyDescent="0.25"/>
    <row r="408" s="36" customFormat="1" ht="15.75" customHeight="1" x14ac:dyDescent="0.25"/>
    <row r="409" s="36" customFormat="1" ht="15.75" customHeight="1" x14ac:dyDescent="0.25"/>
    <row r="410" s="36" customFormat="1" ht="15.75" customHeight="1" x14ac:dyDescent="0.25"/>
    <row r="411" s="36" customFormat="1" ht="15.75" customHeight="1" x14ac:dyDescent="0.25"/>
    <row r="412" s="36" customFormat="1" ht="15.75" customHeight="1" x14ac:dyDescent="0.25"/>
    <row r="413" s="36" customFormat="1" ht="15.75" customHeight="1" x14ac:dyDescent="0.25"/>
    <row r="414" s="36" customFormat="1" ht="15.75" customHeight="1" x14ac:dyDescent="0.25"/>
    <row r="415" s="36" customFormat="1" ht="15.75" customHeight="1" x14ac:dyDescent="0.25"/>
    <row r="416" s="36" customFormat="1" ht="15.75" customHeight="1" x14ac:dyDescent="0.25"/>
    <row r="417" s="36" customFormat="1" ht="15.75" customHeight="1" x14ac:dyDescent="0.25"/>
    <row r="418" s="36" customFormat="1" ht="15.75" customHeight="1" x14ac:dyDescent="0.25"/>
    <row r="419" s="36" customFormat="1" ht="15.75" customHeight="1" x14ac:dyDescent="0.25"/>
    <row r="420" s="36" customFormat="1" ht="15.75" customHeight="1" x14ac:dyDescent="0.25"/>
    <row r="421" s="36" customFormat="1" ht="15.75" customHeight="1" x14ac:dyDescent="0.25"/>
    <row r="422" s="36" customFormat="1" ht="15.75" customHeight="1" x14ac:dyDescent="0.25"/>
    <row r="423" s="36" customFormat="1" ht="15.75" customHeight="1" x14ac:dyDescent="0.25"/>
    <row r="424" s="36" customFormat="1" ht="15.75" customHeight="1" x14ac:dyDescent="0.25"/>
    <row r="425" s="36" customFormat="1" ht="15.75" customHeight="1" x14ac:dyDescent="0.25"/>
    <row r="426" s="36" customFormat="1" ht="15.75" customHeight="1" x14ac:dyDescent="0.25"/>
    <row r="427" s="36" customFormat="1" ht="15.75" customHeight="1" x14ac:dyDescent="0.25"/>
    <row r="428" s="36" customFormat="1" ht="15.75" customHeight="1" x14ac:dyDescent="0.25"/>
    <row r="429" s="36" customFormat="1" ht="15.75" customHeight="1" x14ac:dyDescent="0.25"/>
    <row r="430" s="36" customFormat="1" ht="15.75" customHeight="1" x14ac:dyDescent="0.25"/>
    <row r="431" s="36" customFormat="1" ht="15.75" customHeight="1" x14ac:dyDescent="0.25"/>
    <row r="432" s="36" customFormat="1" ht="15.75" customHeight="1" x14ac:dyDescent="0.25"/>
    <row r="433" s="36" customFormat="1" ht="15.75" customHeight="1" x14ac:dyDescent="0.25"/>
    <row r="434" s="36" customFormat="1" ht="15.75" customHeight="1" x14ac:dyDescent="0.25"/>
    <row r="435" s="36" customFormat="1" ht="15.75" customHeight="1" x14ac:dyDescent="0.25"/>
    <row r="436" s="36" customFormat="1" ht="15.75" customHeight="1" x14ac:dyDescent="0.25"/>
    <row r="437" s="36" customFormat="1" ht="15.75" customHeight="1" x14ac:dyDescent="0.25"/>
    <row r="438" s="36" customFormat="1" ht="15.75" customHeight="1" x14ac:dyDescent="0.25"/>
    <row r="439" s="36" customFormat="1" ht="15.75" customHeight="1" x14ac:dyDescent="0.25"/>
    <row r="440" s="36" customFormat="1" ht="15.75" customHeight="1" x14ac:dyDescent="0.25"/>
    <row r="441" s="36" customFormat="1" ht="15.75" customHeight="1" x14ac:dyDescent="0.25"/>
    <row r="442" s="36" customFormat="1" ht="15.75" customHeight="1" x14ac:dyDescent="0.25"/>
    <row r="443" s="36" customFormat="1" ht="15.75" customHeight="1" x14ac:dyDescent="0.25"/>
    <row r="444" s="36" customFormat="1" ht="15.75" customHeight="1" x14ac:dyDescent="0.25"/>
    <row r="445" s="36" customFormat="1" ht="15.75" customHeight="1" x14ac:dyDescent="0.25"/>
    <row r="446" s="36" customFormat="1" ht="15.75" customHeight="1" x14ac:dyDescent="0.25"/>
    <row r="447" s="36" customFormat="1" ht="15.75" customHeight="1" x14ac:dyDescent="0.25"/>
    <row r="448" s="36" customFormat="1" ht="15.75" customHeight="1" x14ac:dyDescent="0.25"/>
    <row r="449" s="36" customFormat="1" ht="15.75" customHeight="1" x14ac:dyDescent="0.25"/>
    <row r="450" s="36" customFormat="1" ht="15.75" customHeight="1" x14ac:dyDescent="0.25"/>
    <row r="451" s="36" customFormat="1" ht="15.75" customHeight="1" x14ac:dyDescent="0.25"/>
    <row r="452" s="36" customFormat="1" ht="15.75" customHeight="1" x14ac:dyDescent="0.25"/>
    <row r="453" s="36" customFormat="1" ht="15.75" customHeight="1" x14ac:dyDescent="0.25"/>
    <row r="454" s="36" customFormat="1" ht="15.75" customHeight="1" x14ac:dyDescent="0.25"/>
    <row r="455" s="36" customFormat="1" ht="15.75" customHeight="1" x14ac:dyDescent="0.25"/>
    <row r="456" s="36" customFormat="1" ht="15.75" customHeight="1" x14ac:dyDescent="0.25"/>
    <row r="457" s="36" customFormat="1" ht="15.75" customHeight="1" x14ac:dyDescent="0.25"/>
    <row r="458" s="36" customFormat="1" ht="15.75" customHeight="1" x14ac:dyDescent="0.25"/>
    <row r="459" s="36" customFormat="1" ht="15.75" customHeight="1" x14ac:dyDescent="0.25"/>
    <row r="460" s="36" customFormat="1" ht="15.75" customHeight="1" x14ac:dyDescent="0.25"/>
    <row r="461" s="36" customFormat="1" ht="15.75" customHeight="1" x14ac:dyDescent="0.25"/>
    <row r="462" s="36" customFormat="1" ht="15.75" customHeight="1" x14ac:dyDescent="0.25"/>
    <row r="463" s="36" customFormat="1" ht="15.75" customHeight="1" x14ac:dyDescent="0.25"/>
    <row r="464" s="36" customFormat="1" ht="15.75" customHeight="1" x14ac:dyDescent="0.25"/>
    <row r="465" s="36" customFormat="1" ht="15.75" customHeight="1" x14ac:dyDescent="0.25"/>
    <row r="466" s="36" customFormat="1" ht="15.75" customHeight="1" x14ac:dyDescent="0.25"/>
    <row r="467" s="36" customFormat="1" ht="15.75" customHeight="1" x14ac:dyDescent="0.25"/>
    <row r="468" s="36" customFormat="1" ht="15.75" customHeight="1" x14ac:dyDescent="0.25"/>
    <row r="469" s="36" customFormat="1" ht="15.75" customHeight="1" x14ac:dyDescent="0.25"/>
    <row r="470" s="36" customFormat="1" ht="15.75" customHeight="1" x14ac:dyDescent="0.25"/>
    <row r="471" s="36" customFormat="1" ht="15.75" customHeight="1" x14ac:dyDescent="0.25"/>
    <row r="472" s="36" customFormat="1" ht="15.75" customHeight="1" x14ac:dyDescent="0.25"/>
    <row r="473" s="36" customFormat="1" ht="15.75" customHeight="1" x14ac:dyDescent="0.25"/>
    <row r="474" s="36" customFormat="1" ht="15.75" customHeight="1" x14ac:dyDescent="0.25"/>
    <row r="475" s="36" customFormat="1" ht="15.75" customHeight="1" x14ac:dyDescent="0.25"/>
    <row r="476" s="36" customFormat="1" ht="15.75" customHeight="1" x14ac:dyDescent="0.25"/>
    <row r="477" s="36" customFormat="1" ht="15.75" customHeight="1" x14ac:dyDescent="0.25"/>
    <row r="478" s="36" customFormat="1" ht="15.75" customHeight="1" x14ac:dyDescent="0.25"/>
    <row r="479" s="36" customFormat="1" ht="15.75" customHeight="1" x14ac:dyDescent="0.25"/>
    <row r="480" s="36" customFormat="1" ht="15.75" customHeight="1" x14ac:dyDescent="0.25"/>
    <row r="481" s="36" customFormat="1" ht="15.75" customHeight="1" x14ac:dyDescent="0.25"/>
    <row r="482" s="36" customFormat="1" ht="15.75" customHeight="1" x14ac:dyDescent="0.25"/>
    <row r="483" s="36" customFormat="1" ht="15.75" customHeight="1" x14ac:dyDescent="0.25"/>
    <row r="484" s="36" customFormat="1" ht="15.75" customHeight="1" x14ac:dyDescent="0.25"/>
    <row r="485" s="36" customFormat="1" ht="15.75" customHeight="1" x14ac:dyDescent="0.25"/>
    <row r="486" s="36" customFormat="1" ht="15.75" customHeight="1" x14ac:dyDescent="0.25"/>
    <row r="487" s="36" customFormat="1" ht="15.75" customHeight="1" x14ac:dyDescent="0.25"/>
    <row r="488" s="36" customFormat="1" ht="15.75" customHeight="1" x14ac:dyDescent="0.25"/>
    <row r="489" s="36" customFormat="1" ht="15.75" customHeight="1" x14ac:dyDescent="0.25"/>
    <row r="490" s="36" customFormat="1" ht="15.75" customHeight="1" x14ac:dyDescent="0.25"/>
    <row r="491" s="36" customFormat="1" ht="15.75" customHeight="1" x14ac:dyDescent="0.25"/>
    <row r="492" s="36" customFormat="1" ht="15.75" customHeight="1" x14ac:dyDescent="0.25"/>
    <row r="493" s="36" customFormat="1" ht="15.75" customHeight="1" x14ac:dyDescent="0.25"/>
    <row r="494" s="36" customFormat="1" ht="15.75" customHeight="1" x14ac:dyDescent="0.25"/>
    <row r="495" s="36" customFormat="1" ht="15.75" customHeight="1" x14ac:dyDescent="0.25"/>
    <row r="496" s="36" customFormat="1" ht="15.75" customHeight="1" x14ac:dyDescent="0.25"/>
    <row r="497" s="36" customFormat="1" ht="15.75" customHeight="1" x14ac:dyDescent="0.25"/>
    <row r="498" s="36" customFormat="1" ht="15.75" customHeight="1" x14ac:dyDescent="0.25"/>
    <row r="499" s="36" customFormat="1" ht="15.75" customHeight="1" x14ac:dyDescent="0.25"/>
    <row r="500" s="36" customFormat="1" ht="15.75" customHeight="1" x14ac:dyDescent="0.25"/>
    <row r="501" s="36" customFormat="1" ht="15.75" customHeight="1" x14ac:dyDescent="0.25"/>
    <row r="502" s="36" customFormat="1" ht="15.75" customHeight="1" x14ac:dyDescent="0.25"/>
    <row r="503" s="36" customFormat="1" ht="15.75" customHeight="1" x14ac:dyDescent="0.25"/>
    <row r="504" s="36" customFormat="1" ht="15.75" customHeight="1" x14ac:dyDescent="0.25"/>
    <row r="505" s="36" customFormat="1" ht="15.75" customHeight="1" x14ac:dyDescent="0.25"/>
    <row r="506" s="36" customFormat="1" ht="15.75" customHeight="1" x14ac:dyDescent="0.25"/>
    <row r="507" s="36" customFormat="1" ht="15.75" customHeight="1" x14ac:dyDescent="0.25"/>
    <row r="508" s="36" customFormat="1" ht="15.75" customHeight="1" x14ac:dyDescent="0.25"/>
    <row r="509" s="36" customFormat="1" ht="15.75" customHeight="1" x14ac:dyDescent="0.25"/>
    <row r="510" s="36" customFormat="1" ht="15.75" customHeight="1" x14ac:dyDescent="0.25"/>
    <row r="511" s="36" customFormat="1" ht="15.75" customHeight="1" x14ac:dyDescent="0.25"/>
    <row r="512" s="36" customFormat="1" ht="15.75" customHeight="1" x14ac:dyDescent="0.25"/>
    <row r="513" s="36" customFormat="1" ht="15.75" customHeight="1" x14ac:dyDescent="0.25"/>
    <row r="514" s="36" customFormat="1" ht="15.75" customHeight="1" x14ac:dyDescent="0.25"/>
    <row r="515" s="36" customFormat="1" ht="15.75" customHeight="1" x14ac:dyDescent="0.25"/>
    <row r="516" s="36" customFormat="1" ht="15.75" customHeight="1" x14ac:dyDescent="0.25"/>
    <row r="517" s="36" customFormat="1" ht="15.75" customHeight="1" x14ac:dyDescent="0.25"/>
    <row r="518" s="36" customFormat="1" ht="15.75" customHeight="1" x14ac:dyDescent="0.25"/>
    <row r="519" s="36" customFormat="1" ht="15.75" customHeight="1" x14ac:dyDescent="0.25"/>
    <row r="520" s="36" customFormat="1" ht="15.75" customHeight="1" x14ac:dyDescent="0.25"/>
    <row r="521" s="36" customFormat="1" ht="15.75" customHeight="1" x14ac:dyDescent="0.25"/>
    <row r="522" s="36" customFormat="1" ht="15.75" customHeight="1" x14ac:dyDescent="0.25"/>
    <row r="523" s="36" customFormat="1" ht="15.75" customHeight="1" x14ac:dyDescent="0.25"/>
    <row r="524" s="36" customFormat="1" ht="15.75" customHeight="1" x14ac:dyDescent="0.25"/>
    <row r="525" s="36" customFormat="1" ht="15.75" customHeight="1" x14ac:dyDescent="0.25"/>
    <row r="526" s="36" customFormat="1" ht="15.75" customHeight="1" x14ac:dyDescent="0.25"/>
    <row r="527" s="36" customFormat="1" ht="15.75" customHeight="1" x14ac:dyDescent="0.25"/>
    <row r="528" s="36" customFormat="1" ht="15.75" customHeight="1" x14ac:dyDescent="0.25"/>
    <row r="529" s="36" customFormat="1" ht="15.75" customHeight="1" x14ac:dyDescent="0.25"/>
    <row r="530" s="36" customFormat="1" ht="15.75" customHeight="1" x14ac:dyDescent="0.25"/>
    <row r="531" s="36" customFormat="1" ht="15.75" customHeight="1" x14ac:dyDescent="0.25"/>
    <row r="532" s="36" customFormat="1" ht="15.75" customHeight="1" x14ac:dyDescent="0.25"/>
    <row r="533" s="36" customFormat="1" ht="15.75" customHeight="1" x14ac:dyDescent="0.25"/>
    <row r="534" s="36" customFormat="1" ht="15.75" customHeight="1" x14ac:dyDescent="0.25"/>
    <row r="535" s="36" customFormat="1" ht="15.75" customHeight="1" x14ac:dyDescent="0.25"/>
    <row r="536" s="36" customFormat="1" ht="15.75" customHeight="1" x14ac:dyDescent="0.25"/>
    <row r="537" s="36" customFormat="1" ht="15.75" customHeight="1" x14ac:dyDescent="0.25"/>
    <row r="538" s="36" customFormat="1" ht="15.75" customHeight="1" x14ac:dyDescent="0.25"/>
    <row r="539" s="36" customFormat="1" ht="15.75" customHeight="1" x14ac:dyDescent="0.25"/>
    <row r="540" s="36" customFormat="1" ht="15.75" customHeight="1" x14ac:dyDescent="0.25"/>
    <row r="541" s="36" customFormat="1" ht="15.75" customHeight="1" x14ac:dyDescent="0.25"/>
    <row r="542" s="36" customFormat="1" ht="15.75" customHeight="1" x14ac:dyDescent="0.25"/>
    <row r="543" s="36" customFormat="1" ht="15.75" customHeight="1" x14ac:dyDescent="0.25"/>
    <row r="544" s="36" customFormat="1" ht="15.75" customHeight="1" x14ac:dyDescent="0.25"/>
    <row r="545" s="36" customFormat="1" ht="15.75" customHeight="1" x14ac:dyDescent="0.25"/>
    <row r="546" s="36" customFormat="1" ht="15.75" customHeight="1" x14ac:dyDescent="0.25"/>
    <row r="547" s="36" customFormat="1" ht="15.75" customHeight="1" x14ac:dyDescent="0.25"/>
    <row r="548" s="36" customFormat="1" ht="15.75" customHeight="1" x14ac:dyDescent="0.25"/>
    <row r="549" s="36" customFormat="1" ht="15.75" customHeight="1" x14ac:dyDescent="0.25"/>
    <row r="550" s="36" customFormat="1" ht="15.75" customHeight="1" x14ac:dyDescent="0.25"/>
    <row r="551" s="36" customFormat="1" ht="15.75" customHeight="1" x14ac:dyDescent="0.25"/>
    <row r="552" s="36" customFormat="1" ht="15.75" customHeight="1" x14ac:dyDescent="0.25"/>
    <row r="553" s="36" customFormat="1" ht="15.75" customHeight="1" x14ac:dyDescent="0.25"/>
    <row r="554" s="36" customFormat="1" ht="15.75" customHeight="1" x14ac:dyDescent="0.25"/>
    <row r="555" s="36" customFormat="1" ht="15.75" customHeight="1" x14ac:dyDescent="0.25"/>
    <row r="556" s="36" customFormat="1" ht="15.75" customHeight="1" x14ac:dyDescent="0.25"/>
    <row r="557" s="36" customFormat="1" ht="15.75" customHeight="1" x14ac:dyDescent="0.25"/>
    <row r="558" s="36" customFormat="1" ht="15.75" customHeight="1" x14ac:dyDescent="0.25"/>
    <row r="559" s="36" customFormat="1" ht="15.75" customHeight="1" x14ac:dyDescent="0.25"/>
    <row r="560" s="36" customFormat="1" ht="15.75" customHeight="1" x14ac:dyDescent="0.25"/>
    <row r="561" s="36" customFormat="1" ht="15.75" customHeight="1" x14ac:dyDescent="0.25"/>
    <row r="562" s="36" customFormat="1" ht="15.75" customHeight="1" x14ac:dyDescent="0.25"/>
    <row r="563" s="36" customFormat="1" ht="15.75" customHeight="1" x14ac:dyDescent="0.25"/>
    <row r="564" s="36" customFormat="1" ht="15.75" customHeight="1" x14ac:dyDescent="0.25"/>
    <row r="565" s="36" customFormat="1" ht="15.75" customHeight="1" x14ac:dyDescent="0.25"/>
    <row r="566" s="36" customFormat="1" ht="15.75" customHeight="1" x14ac:dyDescent="0.25"/>
    <row r="567" s="36" customFormat="1" ht="15.75" customHeight="1" x14ac:dyDescent="0.25"/>
    <row r="568" s="36" customFormat="1" ht="15.75" customHeight="1" x14ac:dyDescent="0.25"/>
    <row r="569" s="36" customFormat="1" ht="15.75" customHeight="1" x14ac:dyDescent="0.25"/>
    <row r="570" s="36" customFormat="1" ht="15.75" customHeight="1" x14ac:dyDescent="0.25"/>
    <row r="571" s="36" customFormat="1" ht="15.75" customHeight="1" x14ac:dyDescent="0.25"/>
    <row r="572" s="36" customFormat="1" ht="15.75" customHeight="1" x14ac:dyDescent="0.25"/>
    <row r="573" s="36" customFormat="1" ht="15.75" customHeight="1" x14ac:dyDescent="0.25"/>
    <row r="574" s="36" customFormat="1" ht="15.75" customHeight="1" x14ac:dyDescent="0.25"/>
    <row r="575" s="36" customFormat="1" ht="15.75" customHeight="1" x14ac:dyDescent="0.25"/>
    <row r="576" s="36" customFormat="1" ht="15.75" customHeight="1" x14ac:dyDescent="0.25"/>
    <row r="577" s="36" customFormat="1" ht="15.75" customHeight="1" x14ac:dyDescent="0.25"/>
    <row r="578" s="36" customFormat="1" ht="15.75" customHeight="1" x14ac:dyDescent="0.25"/>
    <row r="579" s="36" customFormat="1" ht="15.75" customHeight="1" x14ac:dyDescent="0.25"/>
    <row r="580" s="36" customFormat="1" ht="15.75" customHeight="1" x14ac:dyDescent="0.25"/>
    <row r="581" s="36" customFormat="1" ht="15.75" customHeight="1" x14ac:dyDescent="0.25"/>
    <row r="582" s="36" customFormat="1" ht="15.75" customHeight="1" x14ac:dyDescent="0.25"/>
    <row r="583" s="36" customFormat="1" ht="15.75" customHeight="1" x14ac:dyDescent="0.25"/>
    <row r="584" s="36" customFormat="1" ht="15.75" customHeight="1" x14ac:dyDescent="0.25"/>
    <row r="585" s="36" customFormat="1" ht="15.75" customHeight="1" x14ac:dyDescent="0.25"/>
    <row r="586" s="36" customFormat="1" ht="15.75" customHeight="1" x14ac:dyDescent="0.25"/>
    <row r="587" s="36" customFormat="1" ht="15.75" customHeight="1" x14ac:dyDescent="0.25"/>
    <row r="588" s="36" customFormat="1" ht="15.75" customHeight="1" x14ac:dyDescent="0.25"/>
    <row r="589" s="36" customFormat="1" ht="15.75" customHeight="1" x14ac:dyDescent="0.25"/>
    <row r="590" s="36" customFormat="1" ht="15.75" customHeight="1" x14ac:dyDescent="0.25"/>
    <row r="591" s="36" customFormat="1" ht="15.75" customHeight="1" x14ac:dyDescent="0.25"/>
    <row r="592" s="36" customFormat="1" ht="15.75" customHeight="1" x14ac:dyDescent="0.25"/>
    <row r="593" s="36" customFormat="1" ht="15.75" customHeight="1" x14ac:dyDescent="0.25"/>
    <row r="594" s="36" customFormat="1" ht="15.75" customHeight="1" x14ac:dyDescent="0.25"/>
    <row r="595" s="36" customFormat="1" ht="15.75" customHeight="1" x14ac:dyDescent="0.25"/>
    <row r="596" s="36" customFormat="1" ht="15.75" customHeight="1" x14ac:dyDescent="0.25"/>
    <row r="597" s="36" customFormat="1" ht="15.75" customHeight="1" x14ac:dyDescent="0.25"/>
    <row r="598" s="36" customFormat="1" ht="15.75" customHeight="1" x14ac:dyDescent="0.25"/>
    <row r="599" s="36" customFormat="1" ht="15.75" customHeight="1" x14ac:dyDescent="0.25"/>
    <row r="600" s="36" customFormat="1" ht="15.75" customHeight="1" x14ac:dyDescent="0.25"/>
    <row r="601" s="36" customFormat="1" ht="15.75" customHeight="1" x14ac:dyDescent="0.25"/>
    <row r="602" s="36" customFormat="1" ht="15.75" customHeight="1" x14ac:dyDescent="0.25"/>
    <row r="603" s="36" customFormat="1" ht="15.75" customHeight="1" x14ac:dyDescent="0.25"/>
    <row r="604" s="36" customFormat="1" ht="15.75" customHeight="1" x14ac:dyDescent="0.25"/>
    <row r="605" s="36" customFormat="1" ht="15.75" customHeight="1" x14ac:dyDescent="0.25"/>
    <row r="606" s="36" customFormat="1" ht="15.75" customHeight="1" x14ac:dyDescent="0.25"/>
    <row r="607" s="36" customFormat="1" ht="15.75" customHeight="1" x14ac:dyDescent="0.25"/>
    <row r="608" s="36" customFormat="1" ht="15.75" customHeight="1" x14ac:dyDescent="0.25"/>
    <row r="609" s="36" customFormat="1" ht="15.75" customHeight="1" x14ac:dyDescent="0.25"/>
    <row r="610" s="36" customFormat="1" ht="15.75" customHeight="1" x14ac:dyDescent="0.25"/>
    <row r="611" s="36" customFormat="1" ht="15.75" customHeight="1" x14ac:dyDescent="0.25"/>
    <row r="612" s="36" customFormat="1" ht="15.75" customHeight="1" x14ac:dyDescent="0.25"/>
    <row r="613" s="36" customFormat="1" ht="15.75" customHeight="1" x14ac:dyDescent="0.25"/>
    <row r="614" s="36" customFormat="1" ht="15.75" customHeight="1" x14ac:dyDescent="0.25"/>
    <row r="615" s="36" customFormat="1" ht="15.75" customHeight="1" x14ac:dyDescent="0.25"/>
    <row r="616" s="36" customFormat="1" ht="15.75" customHeight="1" x14ac:dyDescent="0.25"/>
    <row r="617" s="36" customFormat="1" ht="15.75" customHeight="1" x14ac:dyDescent="0.25"/>
    <row r="618" s="36" customFormat="1" ht="15.75" customHeight="1" x14ac:dyDescent="0.25"/>
    <row r="619" s="36" customFormat="1" ht="15.75" customHeight="1" x14ac:dyDescent="0.25"/>
    <row r="620" s="36" customFormat="1" ht="15.75" customHeight="1" x14ac:dyDescent="0.25"/>
    <row r="621" s="36" customFormat="1" ht="15.75" customHeight="1" x14ac:dyDescent="0.25"/>
    <row r="622" s="36" customFormat="1" ht="15.75" customHeight="1" x14ac:dyDescent="0.25"/>
    <row r="623" s="36" customFormat="1" ht="15.75" customHeight="1" x14ac:dyDescent="0.25"/>
    <row r="624" s="36" customFormat="1" ht="15.75" customHeight="1" x14ac:dyDescent="0.25"/>
    <row r="625" s="36" customFormat="1" ht="15.75" customHeight="1" x14ac:dyDescent="0.25"/>
    <row r="626" s="36" customFormat="1" ht="15.75" customHeight="1" x14ac:dyDescent="0.25"/>
    <row r="627" s="36" customFormat="1" ht="15.75" customHeight="1" x14ac:dyDescent="0.25"/>
    <row r="628" s="36" customFormat="1" ht="15.75" customHeight="1" x14ac:dyDescent="0.25"/>
    <row r="629" s="36" customFormat="1" ht="15.75" customHeight="1" x14ac:dyDescent="0.25"/>
    <row r="630" s="36" customFormat="1" ht="15.75" customHeight="1" x14ac:dyDescent="0.25"/>
    <row r="631" s="36" customFormat="1" ht="15.75" customHeight="1" x14ac:dyDescent="0.25"/>
    <row r="632" s="36" customFormat="1" ht="15.75" customHeight="1" x14ac:dyDescent="0.25"/>
    <row r="633" s="36" customFormat="1" ht="15.75" customHeight="1" x14ac:dyDescent="0.25"/>
    <row r="634" s="36" customFormat="1" ht="15.75" customHeight="1" x14ac:dyDescent="0.25"/>
    <row r="635" s="36" customFormat="1" ht="15.75" customHeight="1" x14ac:dyDescent="0.25"/>
    <row r="636" s="36" customFormat="1" ht="15.75" customHeight="1" x14ac:dyDescent="0.25"/>
    <row r="637" s="36" customFormat="1" ht="15.75" customHeight="1" x14ac:dyDescent="0.25"/>
    <row r="638" s="36" customFormat="1" ht="15.75" customHeight="1" x14ac:dyDescent="0.25"/>
    <row r="639" s="36" customFormat="1" ht="15.75" customHeight="1" x14ac:dyDescent="0.25"/>
    <row r="640" s="36" customFormat="1" ht="15.75" customHeight="1" x14ac:dyDescent="0.25"/>
    <row r="641" s="36" customFormat="1" ht="15.75" customHeight="1" x14ac:dyDescent="0.25"/>
    <row r="642" s="36" customFormat="1" ht="15.75" customHeight="1" x14ac:dyDescent="0.25"/>
    <row r="643" s="36" customFormat="1" ht="15.75" customHeight="1" x14ac:dyDescent="0.25"/>
    <row r="644" s="36" customFormat="1" ht="15.75" customHeight="1" x14ac:dyDescent="0.25"/>
    <row r="645" s="36" customFormat="1" ht="15.75" customHeight="1" x14ac:dyDescent="0.25"/>
    <row r="646" s="36" customFormat="1" ht="15.75" customHeight="1" x14ac:dyDescent="0.25"/>
    <row r="647" s="36" customFormat="1" ht="15.75" customHeight="1" x14ac:dyDescent="0.25"/>
    <row r="648" s="36" customFormat="1" ht="15.75" customHeight="1" x14ac:dyDescent="0.25"/>
    <row r="649" s="36" customFormat="1" ht="15.75" customHeight="1" x14ac:dyDescent="0.25"/>
    <row r="650" s="36" customFormat="1" ht="15.75" customHeight="1" x14ac:dyDescent="0.25"/>
    <row r="651" s="36" customFormat="1" ht="15.75" customHeight="1" x14ac:dyDescent="0.25"/>
    <row r="652" s="36" customFormat="1" ht="15.75" customHeight="1" x14ac:dyDescent="0.25"/>
    <row r="653" s="36" customFormat="1" ht="15.75" customHeight="1" x14ac:dyDescent="0.25"/>
    <row r="654" s="36" customFormat="1" ht="15.75" customHeight="1" x14ac:dyDescent="0.25"/>
    <row r="655" s="36" customFormat="1" ht="15.75" customHeight="1" x14ac:dyDescent="0.25"/>
    <row r="656" s="36" customFormat="1" ht="15.75" customHeight="1" x14ac:dyDescent="0.25"/>
    <row r="657" s="36" customFormat="1" ht="15.75" customHeight="1" x14ac:dyDescent="0.25"/>
    <row r="658" s="36" customFormat="1" ht="15.75" customHeight="1" x14ac:dyDescent="0.25"/>
    <row r="659" s="36" customFormat="1" ht="15.75" customHeight="1" x14ac:dyDescent="0.25"/>
    <row r="660" s="36" customFormat="1" ht="15.75" customHeight="1" x14ac:dyDescent="0.25"/>
    <row r="661" s="36" customFormat="1" ht="15.75" customHeight="1" x14ac:dyDescent="0.25"/>
    <row r="662" s="36" customFormat="1" ht="15.75" customHeight="1" x14ac:dyDescent="0.25"/>
    <row r="663" s="36" customFormat="1" ht="15.75" customHeight="1" x14ac:dyDescent="0.25"/>
    <row r="664" s="36" customFormat="1" ht="15.75" customHeight="1" x14ac:dyDescent="0.25"/>
    <row r="665" s="36" customFormat="1" ht="15.75" customHeight="1" x14ac:dyDescent="0.25"/>
    <row r="666" s="36" customFormat="1" ht="15.75" customHeight="1" x14ac:dyDescent="0.25"/>
    <row r="667" s="36" customFormat="1" ht="15.75" customHeight="1" x14ac:dyDescent="0.25"/>
    <row r="668" s="36" customFormat="1" ht="15.75" customHeight="1" x14ac:dyDescent="0.25"/>
    <row r="669" s="36" customFormat="1" ht="15.75" customHeight="1" x14ac:dyDescent="0.25"/>
    <row r="670" s="36" customFormat="1" ht="15.75" customHeight="1" x14ac:dyDescent="0.25"/>
    <row r="671" s="36" customFormat="1" ht="15.75" customHeight="1" x14ac:dyDescent="0.25"/>
    <row r="672" s="36" customFormat="1" ht="15.75" customHeight="1" x14ac:dyDescent="0.25"/>
    <row r="673" s="36" customFormat="1" ht="15.75" customHeight="1" x14ac:dyDescent="0.25"/>
    <row r="674" s="36" customFormat="1" ht="15.75" customHeight="1" x14ac:dyDescent="0.25"/>
    <row r="675" s="36" customFormat="1" ht="15.75" customHeight="1" x14ac:dyDescent="0.25"/>
    <row r="676" s="36" customFormat="1" ht="15.75" customHeight="1" x14ac:dyDescent="0.25"/>
    <row r="677" s="36" customFormat="1" ht="15.75" customHeight="1" x14ac:dyDescent="0.25"/>
    <row r="678" s="36" customFormat="1" ht="15.75" customHeight="1" x14ac:dyDescent="0.25"/>
    <row r="679" s="36" customFormat="1" ht="15.75" customHeight="1" x14ac:dyDescent="0.25"/>
    <row r="680" s="36" customFormat="1" ht="15.75" customHeight="1" x14ac:dyDescent="0.25"/>
    <row r="681" s="36" customFormat="1" ht="15.75" customHeight="1" x14ac:dyDescent="0.25"/>
    <row r="682" s="36" customFormat="1" ht="15.75" customHeight="1" x14ac:dyDescent="0.25"/>
    <row r="683" s="36" customFormat="1" ht="15.75" customHeight="1" x14ac:dyDescent="0.25"/>
    <row r="684" s="36" customFormat="1" ht="15.75" customHeight="1" x14ac:dyDescent="0.25"/>
    <row r="685" s="36" customFormat="1" ht="15.75" customHeight="1" x14ac:dyDescent="0.25"/>
    <row r="686" s="36" customFormat="1" ht="15.75" customHeight="1" x14ac:dyDescent="0.25"/>
    <row r="687" s="36" customFormat="1" ht="15.75" customHeight="1" x14ac:dyDescent="0.25"/>
    <row r="688" s="36" customFormat="1" ht="15.75" customHeight="1" x14ac:dyDescent="0.25"/>
    <row r="689" s="36" customFormat="1" ht="15.75" customHeight="1" x14ac:dyDescent="0.25"/>
    <row r="690" s="36" customFormat="1" ht="15.75" customHeight="1" x14ac:dyDescent="0.25"/>
    <row r="691" s="36" customFormat="1" ht="15.75" customHeight="1" x14ac:dyDescent="0.25"/>
    <row r="692" s="36" customFormat="1" ht="15.75" customHeight="1" x14ac:dyDescent="0.25"/>
    <row r="693" s="36" customFormat="1" ht="15.75" customHeight="1" x14ac:dyDescent="0.25"/>
    <row r="694" s="36" customFormat="1" ht="15.75" customHeight="1" x14ac:dyDescent="0.25"/>
    <row r="695" s="36" customFormat="1" ht="15.75" customHeight="1" x14ac:dyDescent="0.25"/>
    <row r="696" s="36" customFormat="1" ht="15.75" customHeight="1" x14ac:dyDescent="0.25"/>
    <row r="697" s="36" customFormat="1" ht="15.75" customHeight="1" x14ac:dyDescent="0.25"/>
    <row r="698" s="36" customFormat="1" ht="15.75" customHeight="1" x14ac:dyDescent="0.25"/>
    <row r="699" s="36" customFormat="1" ht="15.75" customHeight="1" x14ac:dyDescent="0.25"/>
    <row r="700" s="36" customFormat="1" ht="15.75" customHeight="1" x14ac:dyDescent="0.25"/>
    <row r="701" s="36" customFormat="1" ht="15.75" customHeight="1" x14ac:dyDescent="0.25"/>
    <row r="702" s="36" customFormat="1" ht="15.75" customHeight="1" x14ac:dyDescent="0.25"/>
    <row r="703" s="36" customFormat="1" ht="15.75" customHeight="1" x14ac:dyDescent="0.25"/>
    <row r="704" s="36" customFormat="1" ht="15.75" customHeight="1" x14ac:dyDescent="0.25"/>
    <row r="705" s="36" customFormat="1" ht="15.75" customHeight="1" x14ac:dyDescent="0.25"/>
    <row r="706" s="36" customFormat="1" ht="15.75" customHeight="1" x14ac:dyDescent="0.25"/>
    <row r="707" s="36" customFormat="1" ht="15.75" customHeight="1" x14ac:dyDescent="0.25"/>
    <row r="708" s="36" customFormat="1" ht="15.75" customHeight="1" x14ac:dyDescent="0.25"/>
    <row r="709" s="36" customFormat="1" ht="15.75" customHeight="1" x14ac:dyDescent="0.25"/>
    <row r="710" s="36" customFormat="1" ht="15.75" customHeight="1" x14ac:dyDescent="0.25"/>
    <row r="711" s="36" customFormat="1" ht="15.75" customHeight="1" x14ac:dyDescent="0.25"/>
    <row r="712" s="36" customFormat="1" ht="15.75" customHeight="1" x14ac:dyDescent="0.25"/>
    <row r="713" s="36" customFormat="1" ht="15.75" customHeight="1" x14ac:dyDescent="0.25"/>
    <row r="714" s="36" customFormat="1" ht="15.75" customHeight="1" x14ac:dyDescent="0.25"/>
    <row r="715" s="36" customFormat="1" ht="15.75" customHeight="1" x14ac:dyDescent="0.25"/>
    <row r="716" s="36" customFormat="1" ht="15.75" customHeight="1" x14ac:dyDescent="0.25"/>
    <row r="717" s="36" customFormat="1" ht="15.75" customHeight="1" x14ac:dyDescent="0.25"/>
    <row r="718" s="36" customFormat="1" ht="15.75" customHeight="1" x14ac:dyDescent="0.25"/>
    <row r="719" s="36" customFormat="1" ht="15.75" customHeight="1" x14ac:dyDescent="0.25"/>
    <row r="720" s="36" customFormat="1" ht="15.75" customHeight="1" x14ac:dyDescent="0.25"/>
    <row r="721" s="36" customFormat="1" ht="15.75" customHeight="1" x14ac:dyDescent="0.25"/>
    <row r="722" s="36" customFormat="1" ht="15.75" customHeight="1" x14ac:dyDescent="0.25"/>
    <row r="723" s="36" customFormat="1" ht="15.75" customHeight="1" x14ac:dyDescent="0.25"/>
    <row r="724" s="36" customFormat="1" ht="15.75" customHeight="1" x14ac:dyDescent="0.25"/>
    <row r="725" s="36" customFormat="1" ht="15.75" customHeight="1" x14ac:dyDescent="0.25"/>
    <row r="726" s="36" customFormat="1" ht="15.75" customHeight="1" x14ac:dyDescent="0.25"/>
    <row r="727" s="36" customFormat="1" ht="15.75" customHeight="1" x14ac:dyDescent="0.25"/>
    <row r="728" s="36" customFormat="1" ht="15.75" customHeight="1" x14ac:dyDescent="0.25"/>
    <row r="729" s="36" customFormat="1" ht="15.75" customHeight="1" x14ac:dyDescent="0.25"/>
    <row r="730" s="36" customFormat="1" ht="15.75" customHeight="1" x14ac:dyDescent="0.25"/>
    <row r="731" s="36" customFormat="1" ht="15.75" customHeight="1" x14ac:dyDescent="0.25"/>
    <row r="732" s="36" customFormat="1" ht="15.75" customHeight="1" x14ac:dyDescent="0.25"/>
    <row r="733" s="36" customFormat="1" ht="15.75" customHeight="1" x14ac:dyDescent="0.25"/>
    <row r="734" s="36" customFormat="1" ht="15.75" customHeight="1" x14ac:dyDescent="0.25"/>
    <row r="735" s="36" customFormat="1" ht="15.75" customHeight="1" x14ac:dyDescent="0.25"/>
    <row r="736" s="36" customFormat="1" ht="15.75" customHeight="1" x14ac:dyDescent="0.25"/>
    <row r="737" s="36" customFormat="1" ht="15.75" customHeight="1" x14ac:dyDescent="0.25"/>
    <row r="738" s="36" customFormat="1" ht="15.75" customHeight="1" x14ac:dyDescent="0.25"/>
    <row r="739" s="36" customFormat="1" ht="15.75" customHeight="1" x14ac:dyDescent="0.25"/>
    <row r="740" s="36" customFormat="1" ht="15.75" customHeight="1" x14ac:dyDescent="0.25"/>
    <row r="741" s="36" customFormat="1" ht="15.75" customHeight="1" x14ac:dyDescent="0.25"/>
    <row r="742" s="36" customFormat="1" ht="15.75" customHeight="1" x14ac:dyDescent="0.25"/>
    <row r="743" s="36" customFormat="1" ht="15.75" customHeight="1" x14ac:dyDescent="0.25"/>
    <row r="744" s="36" customFormat="1" ht="15.75" customHeight="1" x14ac:dyDescent="0.25"/>
    <row r="745" s="36" customFormat="1" ht="15.75" customHeight="1" x14ac:dyDescent="0.25"/>
    <row r="746" s="36" customFormat="1" ht="15.75" customHeight="1" x14ac:dyDescent="0.25"/>
    <row r="747" s="36" customFormat="1" ht="15.75" customHeight="1" x14ac:dyDescent="0.25"/>
    <row r="748" s="36" customFormat="1" ht="15.75" customHeight="1" x14ac:dyDescent="0.25"/>
    <row r="749" s="36" customFormat="1" ht="15.75" customHeight="1" x14ac:dyDescent="0.25"/>
    <row r="750" s="36" customFormat="1" ht="15.75" customHeight="1" x14ac:dyDescent="0.25"/>
    <row r="751" s="36" customFormat="1" ht="15.75" customHeight="1" x14ac:dyDescent="0.25"/>
    <row r="752" s="36" customFormat="1" ht="15.75" customHeight="1" x14ac:dyDescent="0.25"/>
    <row r="753" s="36" customFormat="1" ht="15.75" customHeight="1" x14ac:dyDescent="0.25"/>
    <row r="754" s="36" customFormat="1" ht="15.75" customHeight="1" x14ac:dyDescent="0.25"/>
    <row r="755" s="36" customFormat="1" ht="15.75" customHeight="1" x14ac:dyDescent="0.25"/>
    <row r="756" s="36" customFormat="1" ht="15.75" customHeight="1" x14ac:dyDescent="0.25"/>
    <row r="757" s="36" customFormat="1" ht="15.75" customHeight="1" x14ac:dyDescent="0.25"/>
    <row r="758" s="36" customFormat="1" ht="15.75" customHeight="1" x14ac:dyDescent="0.25"/>
    <row r="759" s="36" customFormat="1" ht="15.75" customHeight="1" x14ac:dyDescent="0.25"/>
    <row r="760" s="36" customFormat="1" ht="15.75" customHeight="1" x14ac:dyDescent="0.25"/>
    <row r="761" s="36" customFormat="1" ht="15.75" customHeight="1" x14ac:dyDescent="0.25"/>
    <row r="762" s="36" customFormat="1" ht="15.75" customHeight="1" x14ac:dyDescent="0.25"/>
    <row r="763" s="36" customFormat="1" ht="15.75" customHeight="1" x14ac:dyDescent="0.25"/>
    <row r="764" s="36" customFormat="1" ht="15.75" customHeight="1" x14ac:dyDescent="0.25"/>
    <row r="765" s="36" customFormat="1" ht="15.75" customHeight="1" x14ac:dyDescent="0.25"/>
    <row r="766" s="36" customFormat="1" ht="15.75" customHeight="1" x14ac:dyDescent="0.25"/>
    <row r="767" s="36" customFormat="1" ht="15.75" customHeight="1" x14ac:dyDescent="0.25"/>
    <row r="768" s="36" customFormat="1" ht="15.75" customHeight="1" x14ac:dyDescent="0.25"/>
    <row r="769" s="36" customFormat="1" ht="15.75" customHeight="1" x14ac:dyDescent="0.25"/>
    <row r="770" s="36" customFormat="1" ht="15.75" customHeight="1" x14ac:dyDescent="0.25"/>
    <row r="771" s="36" customFormat="1" ht="15.75" customHeight="1" x14ac:dyDescent="0.25"/>
    <row r="772" s="36" customFormat="1" ht="15.75" customHeight="1" x14ac:dyDescent="0.25"/>
    <row r="773" s="36" customFormat="1" ht="15.75" customHeight="1" x14ac:dyDescent="0.25"/>
    <row r="774" s="36" customFormat="1" ht="15.75" customHeight="1" x14ac:dyDescent="0.25"/>
    <row r="775" s="36" customFormat="1" ht="15.75" customHeight="1" x14ac:dyDescent="0.25"/>
    <row r="776" s="36" customFormat="1" ht="15.75" customHeight="1" x14ac:dyDescent="0.25"/>
    <row r="777" s="36" customFormat="1" ht="15.75" customHeight="1" x14ac:dyDescent="0.25"/>
    <row r="778" s="36" customFormat="1" ht="15.75" customHeight="1" x14ac:dyDescent="0.25"/>
    <row r="779" s="36" customFormat="1" ht="15.75" customHeight="1" x14ac:dyDescent="0.25"/>
    <row r="780" s="36" customFormat="1" ht="15.75" customHeight="1" x14ac:dyDescent="0.25"/>
    <row r="781" s="36" customFormat="1" ht="15.75" customHeight="1" x14ac:dyDescent="0.25"/>
    <row r="782" s="36" customFormat="1" ht="15.75" customHeight="1" x14ac:dyDescent="0.25"/>
    <row r="783" s="36" customFormat="1" ht="15.75" customHeight="1" x14ac:dyDescent="0.25"/>
    <row r="784" s="36" customFormat="1" ht="15.75" customHeight="1" x14ac:dyDescent="0.25"/>
    <row r="785" s="36" customFormat="1" ht="15.75" customHeight="1" x14ac:dyDescent="0.25"/>
    <row r="786" s="36" customFormat="1" ht="15.75" customHeight="1" x14ac:dyDescent="0.25"/>
    <row r="787" s="36" customFormat="1" ht="15.75" customHeight="1" x14ac:dyDescent="0.25"/>
    <row r="788" s="36" customFormat="1" ht="15.75" customHeight="1" x14ac:dyDescent="0.25"/>
    <row r="789" s="36" customFormat="1" ht="15.75" customHeight="1" x14ac:dyDescent="0.25"/>
    <row r="790" s="36" customFormat="1" ht="15.75" customHeight="1" x14ac:dyDescent="0.25"/>
    <row r="791" s="36" customFormat="1" ht="15.75" customHeight="1" x14ac:dyDescent="0.25"/>
    <row r="792" s="36" customFormat="1" ht="15.75" customHeight="1" x14ac:dyDescent="0.25"/>
    <row r="793" s="36" customFormat="1" ht="15.75" customHeight="1" x14ac:dyDescent="0.25"/>
    <row r="794" s="36" customFormat="1" ht="15.75" customHeight="1" x14ac:dyDescent="0.25"/>
    <row r="795" s="36" customFormat="1" ht="15.75" customHeight="1" x14ac:dyDescent="0.25"/>
    <row r="796" s="36" customFormat="1" ht="15.75" customHeight="1" x14ac:dyDescent="0.25"/>
    <row r="797" s="36" customFormat="1" ht="15.75" customHeight="1" x14ac:dyDescent="0.25"/>
    <row r="798" s="36" customFormat="1" ht="15.75" customHeight="1" x14ac:dyDescent="0.25"/>
    <row r="799" s="36" customFormat="1" ht="15.75" customHeight="1" x14ac:dyDescent="0.25"/>
    <row r="800" s="36" customFormat="1" ht="15.75" customHeight="1" x14ac:dyDescent="0.25"/>
    <row r="801" s="36" customFormat="1" ht="15.75" customHeight="1" x14ac:dyDescent="0.25"/>
    <row r="802" s="36" customFormat="1" ht="15.75" customHeight="1" x14ac:dyDescent="0.25"/>
    <row r="803" s="36" customFormat="1" ht="15.75" customHeight="1" x14ac:dyDescent="0.25"/>
    <row r="804" s="36" customFormat="1" ht="15.75" customHeight="1" x14ac:dyDescent="0.25"/>
    <row r="805" s="36" customFormat="1" ht="15.75" customHeight="1" x14ac:dyDescent="0.25"/>
    <row r="806" s="36" customFormat="1" ht="15.75" customHeight="1" x14ac:dyDescent="0.25"/>
    <row r="807" s="36" customFormat="1" ht="15.75" customHeight="1" x14ac:dyDescent="0.25"/>
    <row r="808" s="36" customFormat="1" ht="15.75" customHeight="1" x14ac:dyDescent="0.25"/>
    <row r="809" s="36" customFormat="1" ht="15.75" customHeight="1" x14ac:dyDescent="0.25"/>
    <row r="810" s="36" customFormat="1" ht="15.75" customHeight="1" x14ac:dyDescent="0.25"/>
    <row r="811" s="36" customFormat="1" ht="15.75" customHeight="1" x14ac:dyDescent="0.25"/>
    <row r="812" s="36" customFormat="1" ht="15.75" customHeight="1" x14ac:dyDescent="0.25"/>
    <row r="813" s="36" customFormat="1" ht="15.75" customHeight="1" x14ac:dyDescent="0.25"/>
    <row r="814" s="36" customFormat="1" ht="15.75" customHeight="1" x14ac:dyDescent="0.25"/>
    <row r="815" s="36" customFormat="1" ht="15.75" customHeight="1" x14ac:dyDescent="0.25"/>
    <row r="816" s="36" customFormat="1" ht="15.75" customHeight="1" x14ac:dyDescent="0.25"/>
    <row r="817" s="36" customFormat="1" ht="15.75" customHeight="1" x14ac:dyDescent="0.25"/>
    <row r="818" s="36" customFormat="1" ht="15.75" customHeight="1" x14ac:dyDescent="0.25"/>
    <row r="819" s="36" customFormat="1" ht="15.75" customHeight="1" x14ac:dyDescent="0.25"/>
    <row r="820" s="36" customFormat="1" ht="15.75" customHeight="1" x14ac:dyDescent="0.25"/>
    <row r="821" s="36" customFormat="1" ht="15.75" customHeight="1" x14ac:dyDescent="0.25"/>
    <row r="822" s="36" customFormat="1" ht="15.75" customHeight="1" x14ac:dyDescent="0.25"/>
    <row r="823" s="36" customFormat="1" ht="15.75" customHeight="1" x14ac:dyDescent="0.25"/>
    <row r="824" s="36" customFormat="1" ht="15.75" customHeight="1" x14ac:dyDescent="0.25"/>
    <row r="825" s="36" customFormat="1" ht="15.75" customHeight="1" x14ac:dyDescent="0.25"/>
    <row r="826" s="36" customFormat="1" ht="15.75" customHeight="1" x14ac:dyDescent="0.25"/>
    <row r="827" s="36" customFormat="1" ht="15.75" customHeight="1" x14ac:dyDescent="0.25"/>
    <row r="828" s="36" customFormat="1" ht="15.75" customHeight="1" x14ac:dyDescent="0.25"/>
    <row r="829" s="36" customFormat="1" ht="15.75" customHeight="1" x14ac:dyDescent="0.25"/>
    <row r="830" s="36" customFormat="1" ht="15.75" customHeight="1" x14ac:dyDescent="0.25"/>
    <row r="831" s="36" customFormat="1" ht="15.75" customHeight="1" x14ac:dyDescent="0.25"/>
    <row r="832" s="36" customFormat="1" ht="15.75" customHeight="1" x14ac:dyDescent="0.25"/>
    <row r="833" s="36" customFormat="1" ht="15.75" customHeight="1" x14ac:dyDescent="0.25"/>
    <row r="834" s="36" customFormat="1" ht="15.75" customHeight="1" x14ac:dyDescent="0.25"/>
    <row r="835" s="36" customFormat="1" ht="15.75" customHeight="1" x14ac:dyDescent="0.25"/>
    <row r="836" s="36" customFormat="1" ht="15.75" customHeight="1" x14ac:dyDescent="0.25"/>
    <row r="837" s="36" customFormat="1" ht="15.75" customHeight="1" x14ac:dyDescent="0.25"/>
    <row r="838" s="36" customFormat="1" ht="15.75" customHeight="1" x14ac:dyDescent="0.25"/>
    <row r="839" s="36" customFormat="1" ht="15.75" customHeight="1" x14ac:dyDescent="0.25"/>
    <row r="840" s="36" customFormat="1" ht="15.75" customHeight="1" x14ac:dyDescent="0.25"/>
    <row r="841" s="36" customFormat="1" ht="15.75" customHeight="1" x14ac:dyDescent="0.25"/>
    <row r="842" s="36" customFormat="1" ht="15.75" customHeight="1" x14ac:dyDescent="0.25"/>
    <row r="843" s="36" customFormat="1" ht="15.75" customHeight="1" x14ac:dyDescent="0.25"/>
    <row r="844" s="36" customFormat="1" ht="15.75" customHeight="1" x14ac:dyDescent="0.25"/>
    <row r="845" s="36" customFormat="1" ht="15.75" customHeight="1" x14ac:dyDescent="0.25"/>
    <row r="846" s="36" customFormat="1" ht="15.75" customHeight="1" x14ac:dyDescent="0.25"/>
    <row r="847" s="36" customFormat="1" ht="15.75" customHeight="1" x14ac:dyDescent="0.25"/>
    <row r="848" s="36" customFormat="1" ht="15.75" customHeight="1" x14ac:dyDescent="0.25"/>
    <row r="849" s="36" customFormat="1" ht="15.75" customHeight="1" x14ac:dyDescent="0.25"/>
    <row r="850" s="36" customFormat="1" ht="15.75" customHeight="1" x14ac:dyDescent="0.25"/>
    <row r="851" s="36" customFormat="1" ht="15.75" customHeight="1" x14ac:dyDescent="0.25"/>
    <row r="852" s="36" customFormat="1" ht="15.75" customHeight="1" x14ac:dyDescent="0.25"/>
    <row r="853" s="36" customFormat="1" ht="15.75" customHeight="1" x14ac:dyDescent="0.25"/>
    <row r="854" s="36" customFormat="1" ht="15.75" customHeight="1" x14ac:dyDescent="0.25"/>
    <row r="855" s="36" customFormat="1" ht="15.75" customHeight="1" x14ac:dyDescent="0.25"/>
    <row r="856" s="36" customFormat="1" ht="15.75" customHeight="1" x14ac:dyDescent="0.25"/>
    <row r="857" s="36" customFormat="1" ht="15.75" customHeight="1" x14ac:dyDescent="0.25"/>
    <row r="858" s="36" customFormat="1" ht="15.75" customHeight="1" x14ac:dyDescent="0.25"/>
    <row r="859" s="36" customFormat="1" ht="15.75" customHeight="1" x14ac:dyDescent="0.25"/>
    <row r="860" s="36" customFormat="1" ht="15.75" customHeight="1" x14ac:dyDescent="0.25"/>
    <row r="861" s="36" customFormat="1" ht="15.75" customHeight="1" x14ac:dyDescent="0.25"/>
    <row r="862" s="36" customFormat="1" ht="15.75" customHeight="1" x14ac:dyDescent="0.25"/>
    <row r="863" s="36" customFormat="1" ht="15.75" customHeight="1" x14ac:dyDescent="0.25"/>
    <row r="864" s="36" customFormat="1" ht="15.75" customHeight="1" x14ac:dyDescent="0.25"/>
    <row r="865" s="36" customFormat="1" ht="15.75" customHeight="1" x14ac:dyDescent="0.25"/>
    <row r="866" s="36" customFormat="1" ht="15.75" customHeight="1" x14ac:dyDescent="0.25"/>
    <row r="867" s="36" customFormat="1" ht="15.75" customHeight="1" x14ac:dyDescent="0.25"/>
    <row r="868" s="36" customFormat="1" ht="15.75" customHeight="1" x14ac:dyDescent="0.25"/>
    <row r="869" s="36" customFormat="1" ht="15.75" customHeight="1" x14ac:dyDescent="0.25"/>
    <row r="870" s="36" customFormat="1" ht="15.75" customHeight="1" x14ac:dyDescent="0.25"/>
    <row r="871" s="36" customFormat="1" ht="15.75" customHeight="1" x14ac:dyDescent="0.25"/>
    <row r="872" s="36" customFormat="1" ht="15.75" customHeight="1" x14ac:dyDescent="0.25"/>
    <row r="873" s="36" customFormat="1" ht="15.75" customHeight="1" x14ac:dyDescent="0.25"/>
    <row r="874" s="36" customFormat="1" ht="15.75" customHeight="1" x14ac:dyDescent="0.25"/>
    <row r="875" s="36" customFormat="1" ht="15.75" customHeight="1" x14ac:dyDescent="0.25"/>
    <row r="876" s="36" customFormat="1" ht="15.75" customHeight="1" x14ac:dyDescent="0.25"/>
    <row r="877" s="36" customFormat="1" ht="15.75" customHeight="1" x14ac:dyDescent="0.25"/>
    <row r="878" s="36" customFormat="1" ht="15.75" customHeight="1" x14ac:dyDescent="0.25"/>
    <row r="879" s="36" customFormat="1" ht="15.75" customHeight="1" x14ac:dyDescent="0.25"/>
    <row r="880" s="36" customFormat="1" ht="15.75" customHeight="1" x14ac:dyDescent="0.25"/>
    <row r="881" s="36" customFormat="1" ht="15.75" customHeight="1" x14ac:dyDescent="0.25"/>
    <row r="882" s="36" customFormat="1" ht="15.75" customHeight="1" x14ac:dyDescent="0.25"/>
    <row r="883" s="36" customFormat="1" ht="15.75" customHeight="1" x14ac:dyDescent="0.25"/>
    <row r="884" s="36" customFormat="1" ht="15.75" customHeight="1" x14ac:dyDescent="0.25"/>
    <row r="885" s="36" customFormat="1" ht="15.75" customHeight="1" x14ac:dyDescent="0.25"/>
    <row r="886" s="36" customFormat="1" ht="15.75" customHeight="1" x14ac:dyDescent="0.25"/>
    <row r="887" s="36" customFormat="1" ht="15.75" customHeight="1" x14ac:dyDescent="0.25"/>
    <row r="888" s="36" customFormat="1" ht="15.75" customHeight="1" x14ac:dyDescent="0.25"/>
    <row r="889" s="36" customFormat="1" ht="15.75" customHeight="1" x14ac:dyDescent="0.25"/>
    <row r="890" s="36" customFormat="1" ht="15.75" customHeight="1" x14ac:dyDescent="0.25"/>
    <row r="891" s="36" customFormat="1" ht="15.75" customHeight="1" x14ac:dyDescent="0.25"/>
    <row r="892" s="36" customFormat="1" ht="15.75" customHeight="1" x14ac:dyDescent="0.25"/>
    <row r="893" s="36" customFormat="1" ht="15.75" customHeight="1" x14ac:dyDescent="0.25"/>
    <row r="894" s="36" customFormat="1" ht="15.75" customHeight="1" x14ac:dyDescent="0.25"/>
    <row r="895" s="36" customFormat="1" ht="15.75" customHeight="1" x14ac:dyDescent="0.25"/>
    <row r="896" s="36" customFormat="1" ht="15.75" customHeight="1" x14ac:dyDescent="0.25"/>
    <row r="897" s="36" customFormat="1" ht="15.75" customHeight="1" x14ac:dyDescent="0.25"/>
    <row r="898" s="36" customFormat="1" ht="15.75" customHeight="1" x14ac:dyDescent="0.25"/>
    <row r="899" s="36" customFormat="1" ht="15.75" customHeight="1" x14ac:dyDescent="0.25"/>
    <row r="900" s="36" customFormat="1" ht="15.75" customHeight="1" x14ac:dyDescent="0.25"/>
    <row r="901" s="36" customFormat="1" ht="15.75" customHeight="1" x14ac:dyDescent="0.25"/>
    <row r="902" s="36" customFormat="1" ht="15.75" customHeight="1" x14ac:dyDescent="0.25"/>
    <row r="903" s="36" customFormat="1" ht="15.75" customHeight="1" x14ac:dyDescent="0.25"/>
    <row r="904" s="36" customFormat="1" ht="15.75" customHeight="1" x14ac:dyDescent="0.25"/>
    <row r="905" s="36" customFormat="1" ht="15.75" customHeight="1" x14ac:dyDescent="0.25"/>
    <row r="906" s="36" customFormat="1" ht="15.75" customHeight="1" x14ac:dyDescent="0.25"/>
    <row r="907" s="36" customFormat="1" ht="15.75" customHeight="1" x14ac:dyDescent="0.25"/>
    <row r="908" s="36" customFormat="1" ht="15.75" customHeight="1" x14ac:dyDescent="0.25"/>
    <row r="909" s="36" customFormat="1" ht="15.75" customHeight="1" x14ac:dyDescent="0.25"/>
    <row r="910" s="36" customFormat="1" ht="15.75" customHeight="1" x14ac:dyDescent="0.25"/>
    <row r="911" s="36" customFormat="1" ht="15.75" customHeight="1" x14ac:dyDescent="0.25"/>
    <row r="912" s="36" customFormat="1" ht="15.75" customHeight="1" x14ac:dyDescent="0.25"/>
    <row r="913" s="36" customFormat="1" ht="15.75" customHeight="1" x14ac:dyDescent="0.25"/>
    <row r="914" s="36" customFormat="1" ht="15.75" customHeight="1" x14ac:dyDescent="0.25"/>
    <row r="915" s="36" customFormat="1" ht="15.75" customHeight="1" x14ac:dyDescent="0.25"/>
    <row r="916" s="36" customFormat="1" ht="15.75" customHeight="1" x14ac:dyDescent="0.25"/>
    <row r="917" s="36" customFormat="1" ht="15.75" customHeight="1" x14ac:dyDescent="0.25"/>
    <row r="918" s="36" customFormat="1" ht="15.75" customHeight="1" x14ac:dyDescent="0.25"/>
    <row r="919" s="36" customFormat="1" ht="15.75" customHeight="1" x14ac:dyDescent="0.25"/>
    <row r="920" s="36" customFormat="1" ht="15.75" customHeight="1" x14ac:dyDescent="0.25"/>
    <row r="921" s="36" customFormat="1" ht="15.75" customHeight="1" x14ac:dyDescent="0.25"/>
    <row r="922" s="36" customFormat="1" ht="15.75" customHeight="1" x14ac:dyDescent="0.25"/>
    <row r="923" s="36" customFormat="1" ht="15.75" customHeight="1" x14ac:dyDescent="0.25"/>
    <row r="924" s="36" customFormat="1" ht="15.75" customHeight="1" x14ac:dyDescent="0.25"/>
    <row r="925" s="36" customFormat="1" ht="15.75" customHeight="1" x14ac:dyDescent="0.25"/>
    <row r="926" s="36" customFormat="1" ht="15.75" customHeight="1" x14ac:dyDescent="0.25"/>
    <row r="927" s="36" customFormat="1" ht="15.75" customHeight="1" x14ac:dyDescent="0.25"/>
    <row r="928" s="36" customFormat="1" ht="15.75" customHeight="1" x14ac:dyDescent="0.25"/>
    <row r="929" s="36" customFormat="1" ht="15.75" customHeight="1" x14ac:dyDescent="0.25"/>
    <row r="930" s="36" customFormat="1" ht="15.75" customHeight="1" x14ac:dyDescent="0.25"/>
    <row r="931" s="36" customFormat="1" ht="15.75" customHeight="1" x14ac:dyDescent="0.25"/>
    <row r="932" s="36" customFormat="1" ht="15.75" customHeight="1" x14ac:dyDescent="0.25"/>
    <row r="933" s="36" customFormat="1" ht="15.75" customHeight="1" x14ac:dyDescent="0.25"/>
    <row r="934" s="36" customFormat="1" ht="15.75" customHeight="1" x14ac:dyDescent="0.25"/>
    <row r="935" s="36" customFormat="1" ht="15.75" customHeight="1" x14ac:dyDescent="0.25"/>
    <row r="936" s="36" customFormat="1" ht="15.75" customHeight="1" x14ac:dyDescent="0.25"/>
    <row r="937" s="36" customFormat="1" ht="15.75" customHeight="1" x14ac:dyDescent="0.25"/>
    <row r="938" s="36" customFormat="1" ht="15.75" customHeight="1" x14ac:dyDescent="0.25"/>
    <row r="939" s="36" customFormat="1" ht="15.75" customHeight="1" x14ac:dyDescent="0.25"/>
    <row r="940" s="36" customFormat="1" ht="15.75" customHeight="1" x14ac:dyDescent="0.25"/>
    <row r="941" s="36" customFormat="1" ht="15.75" customHeight="1" x14ac:dyDescent="0.25"/>
    <row r="942" s="36" customFormat="1" ht="15.75" customHeight="1" x14ac:dyDescent="0.25"/>
    <row r="943" s="36" customFormat="1" ht="15.75" customHeight="1" x14ac:dyDescent="0.25"/>
    <row r="944" s="36" customFormat="1" ht="15.75" customHeight="1" x14ac:dyDescent="0.25"/>
    <row r="945" s="36" customFormat="1" ht="15.75" customHeight="1" x14ac:dyDescent="0.25"/>
    <row r="946" s="36" customFormat="1" ht="15.75" customHeight="1" x14ac:dyDescent="0.25"/>
    <row r="947" s="36" customFormat="1" ht="15.75" customHeight="1" x14ac:dyDescent="0.25"/>
    <row r="948" s="36" customFormat="1" ht="15.75" customHeight="1" x14ac:dyDescent="0.25"/>
    <row r="949" s="36" customFormat="1" ht="15.75" customHeight="1" x14ac:dyDescent="0.25"/>
    <row r="950" s="36" customFormat="1" ht="15.75" customHeight="1" x14ac:dyDescent="0.25"/>
    <row r="951" s="36" customFormat="1" ht="15.75" customHeight="1" x14ac:dyDescent="0.25"/>
    <row r="952" s="36" customFormat="1" ht="15.75" customHeight="1" x14ac:dyDescent="0.25"/>
    <row r="953" s="36" customFormat="1" ht="15.75" customHeight="1" x14ac:dyDescent="0.25"/>
    <row r="954" s="36" customFormat="1" ht="15.75" customHeight="1" x14ac:dyDescent="0.25"/>
    <row r="955" s="36" customFormat="1" ht="15.75" customHeight="1" x14ac:dyDescent="0.25"/>
    <row r="956" s="36" customFormat="1" ht="15.75" customHeight="1" x14ac:dyDescent="0.25"/>
    <row r="957" s="36" customFormat="1" ht="15.75" customHeight="1" x14ac:dyDescent="0.25"/>
    <row r="958" s="36" customFormat="1" ht="15.75" customHeight="1" x14ac:dyDescent="0.25"/>
    <row r="959" s="36" customFormat="1" ht="15.75" customHeight="1" x14ac:dyDescent="0.25"/>
    <row r="960" s="36" customFormat="1" ht="15.75" customHeight="1" x14ac:dyDescent="0.25"/>
    <row r="961" s="36" customFormat="1" ht="15.75" customHeight="1" x14ac:dyDescent="0.25"/>
    <row r="962" s="36" customFormat="1" ht="15.75" customHeight="1" x14ac:dyDescent="0.25"/>
    <row r="963" s="36" customFormat="1" ht="15.75" customHeight="1" x14ac:dyDescent="0.25"/>
    <row r="964" s="36" customFormat="1" ht="15.75" customHeight="1" x14ac:dyDescent="0.25"/>
    <row r="965" s="36" customFormat="1" ht="15.75" customHeight="1" x14ac:dyDescent="0.25"/>
    <row r="966" s="36" customFormat="1" ht="15.75" customHeight="1" x14ac:dyDescent="0.25"/>
    <row r="967" s="36" customFormat="1" ht="15.75" customHeight="1" x14ac:dyDescent="0.25"/>
    <row r="968" s="36" customFormat="1" ht="15.75" customHeight="1" x14ac:dyDescent="0.25"/>
    <row r="969" s="36" customFormat="1" ht="15.75" customHeight="1" x14ac:dyDescent="0.25"/>
    <row r="970" s="36" customFormat="1" ht="15.75" customHeight="1" x14ac:dyDescent="0.25"/>
    <row r="971" s="36" customFormat="1" ht="15.75" customHeight="1" x14ac:dyDescent="0.25"/>
    <row r="972" s="36" customFormat="1" ht="15.75" customHeight="1" x14ac:dyDescent="0.25"/>
    <row r="973" s="36" customFormat="1" ht="15.75" customHeight="1" x14ac:dyDescent="0.25"/>
    <row r="974" s="36" customFormat="1" ht="15.75" customHeight="1" x14ac:dyDescent="0.25"/>
    <row r="975" s="36" customFormat="1" ht="15.75" customHeight="1" x14ac:dyDescent="0.25"/>
    <row r="976" s="36" customFormat="1" ht="15.75" customHeight="1" x14ac:dyDescent="0.25"/>
    <row r="977" s="36" customFormat="1" ht="15.75" customHeight="1" x14ac:dyDescent="0.25"/>
    <row r="978" s="36" customFormat="1" ht="15.75" customHeight="1" x14ac:dyDescent="0.25"/>
    <row r="979" s="36" customFormat="1" ht="15.75" customHeight="1" x14ac:dyDescent="0.25"/>
    <row r="980" s="36" customFormat="1" ht="15.75" customHeight="1" x14ac:dyDescent="0.25"/>
    <row r="981" s="36" customFormat="1" ht="15.75" customHeight="1" x14ac:dyDescent="0.25"/>
    <row r="982" s="36" customFormat="1" ht="15.75" customHeight="1" x14ac:dyDescent="0.25"/>
    <row r="983" s="36" customFormat="1" ht="15.75" customHeight="1" x14ac:dyDescent="0.25"/>
    <row r="984" s="36" customFormat="1" ht="15.75" customHeight="1" x14ac:dyDescent="0.25"/>
    <row r="985" s="36" customFormat="1" ht="15.75" customHeight="1" x14ac:dyDescent="0.25"/>
    <row r="986" s="36" customFormat="1" ht="15.75" customHeight="1" x14ac:dyDescent="0.25"/>
    <row r="987" s="36" customFormat="1" ht="15.75" customHeight="1" x14ac:dyDescent="0.25"/>
    <row r="988" s="36" customFormat="1" ht="15.75" customHeight="1" x14ac:dyDescent="0.25"/>
    <row r="989" s="36" customFormat="1" ht="15.75" customHeight="1" x14ac:dyDescent="0.25"/>
    <row r="990" s="36" customFormat="1" ht="15.75" customHeight="1" x14ac:dyDescent="0.25"/>
    <row r="991" s="36" customFormat="1" ht="15.75" customHeight="1" x14ac:dyDescent="0.25"/>
    <row r="992" s="36" customFormat="1" ht="15.75" customHeight="1" x14ac:dyDescent="0.25"/>
    <row r="993" s="36" customFormat="1" ht="15.75" customHeight="1" x14ac:dyDescent="0.25"/>
    <row r="994" s="36" customFormat="1" ht="15.75" customHeight="1" x14ac:dyDescent="0.25"/>
    <row r="995" s="36" customFormat="1" ht="15.75" customHeight="1" x14ac:dyDescent="0.25"/>
    <row r="996" s="36" customFormat="1" ht="15.75" customHeight="1" x14ac:dyDescent="0.25"/>
    <row r="997" s="36" customFormat="1" ht="15.75" customHeight="1" x14ac:dyDescent="0.25"/>
    <row r="998" s="36" customFormat="1" ht="15.75" customHeight="1" x14ac:dyDescent="0.25"/>
    <row r="999" s="36" customFormat="1" ht="15.75" customHeight="1" x14ac:dyDescent="0.25"/>
    <row r="1000" s="36" customFormat="1" ht="15.75" customHeight="1" x14ac:dyDescent="0.25"/>
  </sheetData>
  <sortState xmlns:xlrd2="http://schemas.microsoft.com/office/spreadsheetml/2017/richdata2" ref="I21:M40">
    <sortCondition ref="I21:I40"/>
  </sortState>
  <mergeCells count="10">
    <mergeCell ref="J3:M5"/>
    <mergeCell ref="AC34:AF35"/>
    <mergeCell ref="P7:S8"/>
    <mergeCell ref="H9:I9"/>
    <mergeCell ref="AC9:AF9"/>
    <mergeCell ref="H10:N11"/>
    <mergeCell ref="V21:AA23"/>
    <mergeCell ref="H5:I5"/>
    <mergeCell ref="H6:I6"/>
    <mergeCell ref="H7:I7"/>
  </mergeCells>
  <pageMargins left="0.7" right="0.7" top="0.75" bottom="0.75" header="0" footer="0"/>
  <pageSetup scale="48" orientation="portrait" r:id="rId1"/>
  <colBreaks count="2" manualBreakCount="2">
    <brk id="14" max="1048575" man="1"/>
    <brk id="2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E6D-8F20-4D09-889F-7428266982CC}">
  <dimension ref="C2:AL1000"/>
  <sheetViews>
    <sheetView workbookViewId="0">
      <selection activeCell="AG33" sqref="AG33"/>
    </sheetView>
  </sheetViews>
  <sheetFormatPr defaultColWidth="14.44140625" defaultRowHeight="15" customHeight="1" x14ac:dyDescent="0.3"/>
  <cols>
    <col min="1" max="11" width="8.77734375" customWidth="1"/>
    <col min="12" max="13" width="14.109375" customWidth="1"/>
    <col min="14" max="19" width="8.77734375" customWidth="1"/>
    <col min="20" max="20" width="14.109375" customWidth="1"/>
    <col min="21" max="21" width="5.77734375" customWidth="1"/>
    <col min="22" max="32" width="8.77734375" customWidth="1"/>
    <col min="33" max="36" width="13.21875" customWidth="1"/>
    <col min="37" max="42" width="8.77734375" customWidth="1"/>
  </cols>
  <sheetData>
    <row r="2" spans="3:38" ht="46.2" x14ac:dyDescent="0.85">
      <c r="J2" s="18" t="s">
        <v>0</v>
      </c>
    </row>
    <row r="4" spans="3:38" ht="14.4" x14ac:dyDescent="0.3">
      <c r="C4" s="1" t="s">
        <v>1</v>
      </c>
    </row>
    <row r="5" spans="3:38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1" t="s">
        <v>18</v>
      </c>
      <c r="Q7" s="31"/>
      <c r="R7" s="31"/>
      <c r="S7" s="31"/>
    </row>
    <row r="8" spans="3:38" ht="14.4" x14ac:dyDescent="0.3">
      <c r="C8" s="4">
        <v>3</v>
      </c>
      <c r="D8" s="4">
        <v>3</v>
      </c>
      <c r="E8" s="4">
        <v>2</v>
      </c>
      <c r="F8" s="4" t="s">
        <v>7</v>
      </c>
      <c r="P8" s="31"/>
      <c r="Q8" s="31"/>
      <c r="R8" s="31"/>
      <c r="S8" s="31"/>
    </row>
    <row r="9" spans="3:38" ht="15" customHeight="1" x14ac:dyDescent="0.3">
      <c r="C9" s="4">
        <v>4</v>
      </c>
      <c r="D9" s="4">
        <v>4</v>
      </c>
      <c r="E9" s="4">
        <v>2</v>
      </c>
      <c r="F9" s="4" t="s">
        <v>9</v>
      </c>
      <c r="H9" s="32" t="s">
        <v>10</v>
      </c>
      <c r="I9" s="30"/>
      <c r="P9" s="16" t="s">
        <v>12</v>
      </c>
      <c r="AC9" s="32" t="s">
        <v>11</v>
      </c>
      <c r="AD9" s="30"/>
      <c r="AE9" s="30"/>
      <c r="AF9" s="30"/>
    </row>
    <row r="10" spans="3:38" ht="14.4" x14ac:dyDescent="0.3">
      <c r="C10" s="4">
        <v>5</v>
      </c>
      <c r="D10" s="4">
        <v>5</v>
      </c>
      <c r="E10" s="4">
        <v>3</v>
      </c>
      <c r="F10" s="4" t="s">
        <v>9</v>
      </c>
      <c r="H10" s="33" t="s">
        <v>17</v>
      </c>
      <c r="I10" s="30"/>
      <c r="J10" s="30"/>
      <c r="K10" s="30"/>
      <c r="L10" s="30"/>
      <c r="M10" s="30"/>
      <c r="N10" s="30"/>
      <c r="P10" t="s">
        <v>19</v>
      </c>
    </row>
    <row r="11" spans="3:38" ht="14.4" x14ac:dyDescent="0.3">
      <c r="C11" s="4">
        <v>6</v>
      </c>
      <c r="D11" s="4">
        <v>6</v>
      </c>
      <c r="E11" s="4">
        <v>3</v>
      </c>
      <c r="F11" s="4" t="s">
        <v>9</v>
      </c>
      <c r="H11" s="30"/>
      <c r="I11" s="30"/>
      <c r="J11" s="30"/>
      <c r="K11" s="30"/>
      <c r="L11" s="30"/>
      <c r="M11" s="30"/>
      <c r="N11" s="30"/>
      <c r="P11" s="28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P12" s="28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4" x14ac:dyDescent="0.3">
      <c r="C13" s="4">
        <v>8</v>
      </c>
      <c r="D13" s="4">
        <v>8</v>
      </c>
      <c r="E13" s="4">
        <v>4</v>
      </c>
      <c r="F13" s="4" t="s">
        <v>7</v>
      </c>
      <c r="P13" s="28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4" x14ac:dyDescent="0.3">
      <c r="C14" s="4">
        <v>9</v>
      </c>
      <c r="D14" s="4">
        <v>9</v>
      </c>
      <c r="E14" s="4">
        <v>5</v>
      </c>
      <c r="F14" s="4" t="s">
        <v>9</v>
      </c>
      <c r="L14" s="10"/>
      <c r="P14" s="28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4" x14ac:dyDescent="0.3">
      <c r="C15" s="4">
        <v>10</v>
      </c>
      <c r="D15" s="4">
        <v>10</v>
      </c>
      <c r="E15" s="4">
        <v>5</v>
      </c>
      <c r="F15" s="4" t="s">
        <v>7</v>
      </c>
      <c r="P15" s="28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 t="shared" ref="L18:L37" si="4"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 t="shared" ref="T18:T37" si="5"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 t="shared" si="4"/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 t="shared" si="5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 t="shared" si="4"/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5"/>
        <v>2.2360679774997898</v>
      </c>
      <c r="U20" s="13"/>
      <c r="V20" s="28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 t="shared" si="4"/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 t="shared" si="5"/>
        <v>2.2360679774997898</v>
      </c>
      <c r="U21" s="12"/>
      <c r="V21" s="34" t="s">
        <v>32</v>
      </c>
      <c r="W21" s="34"/>
      <c r="X21" s="34"/>
      <c r="Y21" s="34"/>
      <c r="Z21" s="34"/>
      <c r="AA21" s="34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 t="shared" si="4"/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 t="shared" si="5"/>
        <v>2.8284271247461903</v>
      </c>
      <c r="U22" s="12"/>
      <c r="V22" s="34"/>
      <c r="W22" s="34"/>
      <c r="X22" s="34"/>
      <c r="Y22" s="34"/>
      <c r="Z22" s="34"/>
      <c r="AA22" s="34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 t="shared" si="4"/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 t="shared" si="5"/>
        <v>3</v>
      </c>
      <c r="U23" s="12"/>
      <c r="V23" s="34"/>
      <c r="W23" s="34"/>
      <c r="X23" s="34"/>
      <c r="Y23" s="34"/>
      <c r="Z23" s="34"/>
      <c r="AA23" s="34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 t="shared" si="4"/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 t="shared" si="5"/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 t="shared" si="4"/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5"/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 t="shared" si="4"/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 t="shared" si="5"/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">
      <c r="H27" s="4">
        <v>13</v>
      </c>
      <c r="I27" s="4">
        <v>3</v>
      </c>
      <c r="J27" s="4">
        <v>7</v>
      </c>
      <c r="K27" s="4" t="s">
        <v>7</v>
      </c>
      <c r="L27" s="8">
        <f t="shared" si="4"/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 t="shared" si="5"/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">
      <c r="H28" s="4">
        <v>10</v>
      </c>
      <c r="I28" s="4">
        <v>10</v>
      </c>
      <c r="J28" s="4">
        <v>5</v>
      </c>
      <c r="K28" s="4" t="s">
        <v>7</v>
      </c>
      <c r="L28" s="8">
        <f t="shared" si="4"/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 t="shared" si="5"/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4"/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 t="shared" si="5"/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">
      <c r="H30" s="4">
        <v>17</v>
      </c>
      <c r="I30" s="4">
        <v>7</v>
      </c>
      <c r="J30" s="4">
        <v>9</v>
      </c>
      <c r="K30" s="4" t="s">
        <v>7</v>
      </c>
      <c r="L30" s="8">
        <f t="shared" si="4"/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5"/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">
      <c r="H31" s="4">
        <v>3</v>
      </c>
      <c r="I31" s="4">
        <v>3</v>
      </c>
      <c r="J31" s="4">
        <v>2</v>
      </c>
      <c r="K31" s="4" t="s">
        <v>7</v>
      </c>
      <c r="L31" s="8">
        <f t="shared" si="4"/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5"/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">
      <c r="H32" s="4">
        <v>18</v>
      </c>
      <c r="I32" s="4">
        <v>8</v>
      </c>
      <c r="J32" s="4">
        <v>9</v>
      </c>
      <c r="K32" s="4" t="s">
        <v>7</v>
      </c>
      <c r="L32" s="8">
        <f t="shared" si="4"/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 t="shared" si="5"/>
        <v>4.4721359549995796</v>
      </c>
      <c r="U32" s="12"/>
    </row>
    <row r="33" spans="8:35" ht="15.75" customHeight="1" x14ac:dyDescent="0.3">
      <c r="H33" s="4">
        <v>11</v>
      </c>
      <c r="I33" s="4">
        <v>1</v>
      </c>
      <c r="J33" s="4">
        <v>6</v>
      </c>
      <c r="K33" s="4" t="s">
        <v>9</v>
      </c>
      <c r="L33" s="8">
        <f t="shared" si="4"/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 t="shared" si="5"/>
        <v>5.0990195135927845</v>
      </c>
      <c r="U33" s="12"/>
    </row>
    <row r="34" spans="8:35" ht="15.75" customHeight="1" x14ac:dyDescent="0.3">
      <c r="H34" s="4">
        <v>2</v>
      </c>
      <c r="I34" s="4">
        <v>2</v>
      </c>
      <c r="J34" s="4">
        <v>1</v>
      </c>
      <c r="K34" s="4" t="s">
        <v>7</v>
      </c>
      <c r="L34" s="8">
        <f t="shared" si="4"/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5"/>
        <v>5.6568542494923806</v>
      </c>
      <c r="U34" s="12"/>
      <c r="AC34" s="29" t="s">
        <v>14</v>
      </c>
      <c r="AD34" s="30"/>
      <c r="AE34" s="30"/>
      <c r="AF34" s="30"/>
    </row>
    <row r="35" spans="8:35" ht="15.75" customHeight="1" x14ac:dyDescent="0.3">
      <c r="H35" s="4">
        <v>19</v>
      </c>
      <c r="I35" s="4">
        <v>9</v>
      </c>
      <c r="J35" s="4">
        <v>10</v>
      </c>
      <c r="K35" s="4" t="s">
        <v>9</v>
      </c>
      <c r="L35" s="8">
        <f t="shared" si="4"/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5"/>
        <v>5.8309518948453007</v>
      </c>
      <c r="U35" s="12"/>
      <c r="AC35" s="30"/>
      <c r="AD35" s="30"/>
      <c r="AE35" s="30"/>
      <c r="AF35" s="30"/>
    </row>
    <row r="36" spans="8:35" ht="15.75" customHeight="1" x14ac:dyDescent="0.3">
      <c r="H36" s="4">
        <v>1</v>
      </c>
      <c r="I36" s="4">
        <v>1</v>
      </c>
      <c r="J36" s="4">
        <v>1</v>
      </c>
      <c r="K36" s="4" t="s">
        <v>7</v>
      </c>
      <c r="L36" s="8">
        <f t="shared" si="4"/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5"/>
        <v>6.4031242374328485</v>
      </c>
      <c r="U36" s="12"/>
    </row>
    <row r="37" spans="8:35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4"/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5"/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">
      <c r="AC38" s="15">
        <v>14</v>
      </c>
      <c r="AD38" s="15">
        <v>4</v>
      </c>
      <c r="AE38" s="15">
        <v>7</v>
      </c>
      <c r="AF38" s="15" t="s">
        <v>7</v>
      </c>
      <c r="AG38" s="26">
        <f t="shared" ref="AG38:AG57" si="6"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">
      <c r="AC39" s="15">
        <v>15</v>
      </c>
      <c r="AD39" s="15">
        <v>5</v>
      </c>
      <c r="AE39" s="15">
        <v>8</v>
      </c>
      <c r="AF39" s="15" t="s">
        <v>9</v>
      </c>
      <c r="AG39" s="26">
        <f t="shared" si="6"/>
        <v>2</v>
      </c>
      <c r="AH39" s="23">
        <f t="shared" ref="AH39:AI42" si="7">AD39</f>
        <v>5</v>
      </c>
      <c r="AI39" s="23">
        <f t="shared" si="7"/>
        <v>8</v>
      </c>
    </row>
    <row r="40" spans="8:35" ht="15.75" customHeight="1" x14ac:dyDescent="0.3">
      <c r="AC40" s="15">
        <v>13</v>
      </c>
      <c r="AD40" s="15">
        <v>3</v>
      </c>
      <c r="AE40" s="15">
        <v>7</v>
      </c>
      <c r="AF40" s="15" t="s">
        <v>7</v>
      </c>
      <c r="AG40" s="26">
        <f t="shared" si="6"/>
        <v>2.2360679774997898</v>
      </c>
      <c r="AH40" s="23">
        <f t="shared" si="7"/>
        <v>3</v>
      </c>
      <c r="AI40" s="23">
        <f t="shared" si="7"/>
        <v>7</v>
      </c>
    </row>
    <row r="41" spans="8:35" ht="15.75" customHeight="1" x14ac:dyDescent="0.3">
      <c r="AC41" s="15">
        <v>16</v>
      </c>
      <c r="AD41" s="15">
        <v>6</v>
      </c>
      <c r="AE41" s="15">
        <v>8</v>
      </c>
      <c r="AF41" s="15" t="s">
        <v>9</v>
      </c>
      <c r="AG41" s="26">
        <f t="shared" si="6"/>
        <v>2.2360679774997898</v>
      </c>
      <c r="AH41" s="23">
        <f t="shared" si="7"/>
        <v>6</v>
      </c>
      <c r="AI41" s="23">
        <f t="shared" si="7"/>
        <v>8</v>
      </c>
    </row>
    <row r="42" spans="8:35" ht="15.75" customHeight="1" x14ac:dyDescent="0.3">
      <c r="AC42" s="15">
        <v>7</v>
      </c>
      <c r="AD42" s="15">
        <v>7</v>
      </c>
      <c r="AE42" s="15">
        <v>4</v>
      </c>
      <c r="AF42" s="15" t="s">
        <v>7</v>
      </c>
      <c r="AG42" s="26">
        <f t="shared" si="6"/>
        <v>2.8284271247461903</v>
      </c>
      <c r="AH42" s="23">
        <f t="shared" si="7"/>
        <v>7</v>
      </c>
      <c r="AI42" s="23">
        <f t="shared" si="7"/>
        <v>4</v>
      </c>
    </row>
    <row r="43" spans="8:35" ht="15.75" customHeight="1" x14ac:dyDescent="0.3">
      <c r="AC43" s="14">
        <v>5</v>
      </c>
      <c r="AD43" s="14">
        <v>5</v>
      </c>
      <c r="AE43" s="14">
        <v>3</v>
      </c>
      <c r="AF43" s="14" t="s">
        <v>9</v>
      </c>
      <c r="AG43" s="26">
        <f t="shared" si="6"/>
        <v>3</v>
      </c>
    </row>
    <row r="44" spans="8:35" ht="15.75" customHeight="1" x14ac:dyDescent="0.3">
      <c r="AC44" s="14">
        <v>12</v>
      </c>
      <c r="AD44" s="14">
        <v>2</v>
      </c>
      <c r="AE44" s="14">
        <v>6</v>
      </c>
      <c r="AF44" s="14" t="s">
        <v>9</v>
      </c>
      <c r="AG44" s="26">
        <f t="shared" si="6"/>
        <v>3</v>
      </c>
    </row>
    <row r="45" spans="8:35" ht="15.75" customHeight="1" x14ac:dyDescent="0.3">
      <c r="AC45" s="4">
        <v>6</v>
      </c>
      <c r="AD45" s="4">
        <v>6</v>
      </c>
      <c r="AE45" s="4">
        <v>3</v>
      </c>
      <c r="AF45" s="4" t="s">
        <v>9</v>
      </c>
      <c r="AG45" s="26">
        <f t="shared" si="6"/>
        <v>3.1622776601683795</v>
      </c>
    </row>
    <row r="46" spans="8:35" ht="15.75" customHeight="1" x14ac:dyDescent="0.3">
      <c r="AC46" s="4">
        <v>8</v>
      </c>
      <c r="AD46" s="4">
        <v>8</v>
      </c>
      <c r="AE46" s="4">
        <v>4</v>
      </c>
      <c r="AF46" s="4" t="s">
        <v>7</v>
      </c>
      <c r="AG46" s="26">
        <f t="shared" si="6"/>
        <v>3.6055512754639891</v>
      </c>
    </row>
    <row r="47" spans="8:35" ht="15.75" customHeight="1" x14ac:dyDescent="0.3">
      <c r="AC47" s="4">
        <v>17</v>
      </c>
      <c r="AD47" s="4">
        <v>7</v>
      </c>
      <c r="AE47" s="4">
        <v>9</v>
      </c>
      <c r="AF47" s="4" t="s">
        <v>7</v>
      </c>
      <c r="AG47" s="26">
        <f t="shared" si="6"/>
        <v>3.6055512754639891</v>
      </c>
    </row>
    <row r="48" spans="8:35" ht="15.75" customHeight="1" x14ac:dyDescent="0.3">
      <c r="AC48" s="4">
        <v>11</v>
      </c>
      <c r="AD48" s="4">
        <v>1</v>
      </c>
      <c r="AE48" s="4">
        <v>6</v>
      </c>
      <c r="AF48" s="4" t="s">
        <v>9</v>
      </c>
      <c r="AG48" s="26">
        <f t="shared" si="6"/>
        <v>4</v>
      </c>
    </row>
    <row r="49" spans="29:33" ht="15.75" customHeight="1" x14ac:dyDescent="0.3">
      <c r="AC49" s="4">
        <v>4</v>
      </c>
      <c r="AD49" s="4">
        <v>4</v>
      </c>
      <c r="AE49" s="4">
        <v>2</v>
      </c>
      <c r="AF49" s="4" t="s">
        <v>9</v>
      </c>
      <c r="AG49" s="26">
        <f t="shared" si="6"/>
        <v>4.1231056256176606</v>
      </c>
    </row>
    <row r="50" spans="29:33" ht="15.75" customHeight="1" x14ac:dyDescent="0.3">
      <c r="AC50" s="4">
        <v>9</v>
      </c>
      <c r="AD50" s="4">
        <v>9</v>
      </c>
      <c r="AE50" s="4">
        <v>5</v>
      </c>
      <c r="AF50" s="4" t="s">
        <v>9</v>
      </c>
      <c r="AG50" s="26">
        <f t="shared" si="6"/>
        <v>4.1231056256176606</v>
      </c>
    </row>
    <row r="51" spans="29:33" ht="15.75" customHeight="1" x14ac:dyDescent="0.3">
      <c r="AC51" s="4">
        <v>18</v>
      </c>
      <c r="AD51" s="4">
        <v>8</v>
      </c>
      <c r="AE51" s="4">
        <v>9</v>
      </c>
      <c r="AF51" s="4" t="s">
        <v>7</v>
      </c>
      <c r="AG51" s="26">
        <f t="shared" si="6"/>
        <v>4.2426406871192848</v>
      </c>
    </row>
    <row r="52" spans="29:33" ht="15.75" customHeight="1" x14ac:dyDescent="0.3">
      <c r="AC52" s="4">
        <v>3</v>
      </c>
      <c r="AD52" s="4">
        <v>3</v>
      </c>
      <c r="AE52" s="4">
        <v>2</v>
      </c>
      <c r="AF52" s="4" t="s">
        <v>7</v>
      </c>
      <c r="AG52" s="26">
        <f t="shared" si="6"/>
        <v>4.4721359549995796</v>
      </c>
    </row>
    <row r="53" spans="29:33" ht="15.75" customHeight="1" x14ac:dyDescent="0.3">
      <c r="AC53" s="4">
        <v>10</v>
      </c>
      <c r="AD53" s="4">
        <v>10</v>
      </c>
      <c r="AE53" s="4">
        <v>5</v>
      </c>
      <c r="AF53" s="4" t="s">
        <v>7</v>
      </c>
      <c r="AG53" s="26">
        <f t="shared" si="6"/>
        <v>5.0990195135927845</v>
      </c>
    </row>
    <row r="54" spans="29:33" ht="15.75" customHeight="1" x14ac:dyDescent="0.3">
      <c r="AC54" s="4">
        <v>19</v>
      </c>
      <c r="AD54" s="4">
        <v>9</v>
      </c>
      <c r="AE54" s="4">
        <v>10</v>
      </c>
      <c r="AF54" s="4" t="s">
        <v>9</v>
      </c>
      <c r="AG54" s="26">
        <f t="shared" si="6"/>
        <v>5.6568542494923806</v>
      </c>
    </row>
    <row r="55" spans="29:33" ht="15.75" customHeight="1" x14ac:dyDescent="0.3">
      <c r="AC55" s="4">
        <v>2</v>
      </c>
      <c r="AD55" s="4">
        <v>2</v>
      </c>
      <c r="AE55" s="4">
        <v>1</v>
      </c>
      <c r="AF55" s="4" t="s">
        <v>7</v>
      </c>
      <c r="AG55" s="26">
        <f t="shared" si="6"/>
        <v>5.8309518948453007</v>
      </c>
    </row>
    <row r="56" spans="29:33" ht="15.75" customHeight="1" x14ac:dyDescent="0.3">
      <c r="AC56" s="4">
        <v>1</v>
      </c>
      <c r="AD56" s="4">
        <v>1</v>
      </c>
      <c r="AE56" s="4">
        <v>1</v>
      </c>
      <c r="AF56" s="4" t="s">
        <v>7</v>
      </c>
      <c r="AG56" s="26">
        <f t="shared" si="6"/>
        <v>6.4031242374328485</v>
      </c>
    </row>
    <row r="57" spans="29:33" ht="15.75" customHeight="1" x14ac:dyDescent="0.3">
      <c r="AC57" s="4">
        <v>20</v>
      </c>
      <c r="AD57" s="4">
        <v>10</v>
      </c>
      <c r="AE57" s="4">
        <v>10</v>
      </c>
      <c r="AF57" s="4" t="s">
        <v>7</v>
      </c>
      <c r="AG57" s="26">
        <f t="shared" si="6"/>
        <v>6.4031242374328485</v>
      </c>
    </row>
    <row r="58" spans="29:33" ht="15.75" customHeight="1" x14ac:dyDescent="0.3"/>
    <row r="59" spans="29:33" ht="15.75" customHeight="1" x14ac:dyDescent="0.3"/>
    <row r="60" spans="29:33" ht="15.75" customHeight="1" x14ac:dyDescent="0.3"/>
    <row r="61" spans="29:33" ht="15.75" customHeight="1" x14ac:dyDescent="0.3"/>
    <row r="62" spans="29:33" ht="15.75" customHeight="1" x14ac:dyDescent="0.3"/>
    <row r="63" spans="29:33" ht="15.75" customHeight="1" x14ac:dyDescent="0.3"/>
    <row r="64" spans="29:3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46E1-B66B-4306-AAB1-0AB3D47CC5E9}">
  <dimension ref="C2:AL1000"/>
  <sheetViews>
    <sheetView workbookViewId="0">
      <selection activeCell="AG33" sqref="AG33"/>
    </sheetView>
  </sheetViews>
  <sheetFormatPr defaultColWidth="14.44140625" defaultRowHeight="15" customHeight="1" x14ac:dyDescent="0.3"/>
  <cols>
    <col min="1" max="11" width="8.77734375" customWidth="1"/>
    <col min="12" max="13" width="14.109375" customWidth="1"/>
    <col min="14" max="19" width="8.77734375" customWidth="1"/>
    <col min="20" max="20" width="14.109375" customWidth="1"/>
    <col min="21" max="21" width="5.77734375" customWidth="1"/>
    <col min="22" max="32" width="8.77734375" customWidth="1"/>
    <col min="33" max="36" width="13.21875" customWidth="1"/>
    <col min="37" max="42" width="8.77734375" customWidth="1"/>
  </cols>
  <sheetData>
    <row r="2" spans="3:38" ht="46.2" x14ac:dyDescent="0.85">
      <c r="J2" s="18" t="s">
        <v>0</v>
      </c>
    </row>
    <row r="4" spans="3:38" ht="14.4" x14ac:dyDescent="0.3">
      <c r="C4" s="1" t="s">
        <v>1</v>
      </c>
    </row>
    <row r="5" spans="3:38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1" t="s">
        <v>18</v>
      </c>
      <c r="Q7" s="31"/>
      <c r="R7" s="31"/>
      <c r="S7" s="31"/>
    </row>
    <row r="8" spans="3:38" ht="14.4" x14ac:dyDescent="0.3">
      <c r="C8" s="4">
        <v>3</v>
      </c>
      <c r="D8" s="4">
        <v>3</v>
      </c>
      <c r="E8" s="4">
        <v>2</v>
      </c>
      <c r="F8" s="4" t="s">
        <v>7</v>
      </c>
      <c r="P8" s="31"/>
      <c r="Q8" s="31"/>
      <c r="R8" s="31"/>
      <c r="S8" s="31"/>
    </row>
    <row r="9" spans="3:38" ht="15" customHeight="1" x14ac:dyDescent="0.3">
      <c r="C9" s="4">
        <v>4</v>
      </c>
      <c r="D9" s="4">
        <v>4</v>
      </c>
      <c r="E9" s="4">
        <v>2</v>
      </c>
      <c r="F9" s="4" t="s">
        <v>9</v>
      </c>
      <c r="H9" s="32" t="s">
        <v>10</v>
      </c>
      <c r="I9" s="30"/>
      <c r="P9" s="16" t="s">
        <v>12</v>
      </c>
      <c r="AC9" s="32" t="s">
        <v>11</v>
      </c>
      <c r="AD9" s="30"/>
      <c r="AE9" s="30"/>
      <c r="AF9" s="30"/>
    </row>
    <row r="10" spans="3:38" ht="14.4" x14ac:dyDescent="0.3">
      <c r="C10" s="4">
        <v>5</v>
      </c>
      <c r="D10" s="4">
        <v>5</v>
      </c>
      <c r="E10" s="4">
        <v>3</v>
      </c>
      <c r="F10" s="4" t="s">
        <v>9</v>
      </c>
      <c r="H10" s="33" t="s">
        <v>17</v>
      </c>
      <c r="I10" s="30"/>
      <c r="J10" s="30"/>
      <c r="K10" s="30"/>
      <c r="L10" s="30"/>
      <c r="M10" s="30"/>
      <c r="N10" s="30"/>
      <c r="P10" t="s">
        <v>19</v>
      </c>
    </row>
    <row r="11" spans="3:38" ht="14.4" x14ac:dyDescent="0.3">
      <c r="C11" s="4">
        <v>6</v>
      </c>
      <c r="D11" s="4">
        <v>6</v>
      </c>
      <c r="E11" s="4">
        <v>3</v>
      </c>
      <c r="F11" s="4" t="s">
        <v>9</v>
      </c>
      <c r="H11" s="30"/>
      <c r="I11" s="30"/>
      <c r="J11" s="30"/>
      <c r="K11" s="30"/>
      <c r="L11" s="30"/>
      <c r="M11" s="30"/>
      <c r="N11" s="30"/>
      <c r="P11" s="28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P12" s="28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4" x14ac:dyDescent="0.3">
      <c r="C13" s="4">
        <v>8</v>
      </c>
      <c r="D13" s="4">
        <v>8</v>
      </c>
      <c r="E13" s="4">
        <v>4</v>
      </c>
      <c r="F13" s="4" t="s">
        <v>7</v>
      </c>
      <c r="P13" s="28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4" x14ac:dyDescent="0.3">
      <c r="C14" s="4">
        <v>9</v>
      </c>
      <c r="D14" s="4">
        <v>9</v>
      </c>
      <c r="E14" s="4">
        <v>5</v>
      </c>
      <c r="F14" s="4" t="s">
        <v>9</v>
      </c>
      <c r="L14" s="10"/>
      <c r="P14" s="28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4" x14ac:dyDescent="0.3">
      <c r="C15" s="4">
        <v>10</v>
      </c>
      <c r="D15" s="4">
        <v>10</v>
      </c>
      <c r="E15" s="4">
        <v>5</v>
      </c>
      <c r="F15" s="4" t="s">
        <v>7</v>
      </c>
      <c r="P15" s="28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 t="shared" ref="L18:L37" si="4"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 t="shared" ref="T18:T37" si="5"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 t="shared" si="4"/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 t="shared" si="5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 t="shared" si="4"/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5"/>
        <v>2.2360679774997898</v>
      </c>
      <c r="U20" s="13"/>
      <c r="V20" s="28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 t="shared" si="4"/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 t="shared" si="5"/>
        <v>2.2360679774997898</v>
      </c>
      <c r="U21" s="12"/>
      <c r="V21" s="34" t="s">
        <v>32</v>
      </c>
      <c r="W21" s="34"/>
      <c r="X21" s="34"/>
      <c r="Y21" s="34"/>
      <c r="Z21" s="34"/>
      <c r="AA21" s="34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 t="shared" si="4"/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 t="shared" si="5"/>
        <v>2.8284271247461903</v>
      </c>
      <c r="U22" s="12"/>
      <c r="V22" s="34"/>
      <c r="W22" s="34"/>
      <c r="X22" s="34"/>
      <c r="Y22" s="34"/>
      <c r="Z22" s="34"/>
      <c r="AA22" s="34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 t="shared" si="4"/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 t="shared" si="5"/>
        <v>3</v>
      </c>
      <c r="U23" s="12"/>
      <c r="V23" s="34"/>
      <c r="W23" s="34"/>
      <c r="X23" s="34"/>
      <c r="Y23" s="34"/>
      <c r="Z23" s="34"/>
      <c r="AA23" s="34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 t="shared" si="4"/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 t="shared" si="5"/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 t="shared" si="4"/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5"/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 t="shared" si="4"/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 t="shared" si="5"/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">
      <c r="H27" s="4">
        <v>13</v>
      </c>
      <c r="I27" s="4">
        <v>3</v>
      </c>
      <c r="J27" s="4">
        <v>7</v>
      </c>
      <c r="K27" s="4" t="s">
        <v>7</v>
      </c>
      <c r="L27" s="8">
        <f t="shared" si="4"/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 t="shared" si="5"/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">
      <c r="H28" s="4">
        <v>10</v>
      </c>
      <c r="I28" s="4">
        <v>10</v>
      </c>
      <c r="J28" s="4">
        <v>5</v>
      </c>
      <c r="K28" s="4" t="s">
        <v>7</v>
      </c>
      <c r="L28" s="8">
        <f t="shared" si="4"/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 t="shared" si="5"/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4"/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 t="shared" si="5"/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">
      <c r="H30" s="4">
        <v>17</v>
      </c>
      <c r="I30" s="4">
        <v>7</v>
      </c>
      <c r="J30" s="4">
        <v>9</v>
      </c>
      <c r="K30" s="4" t="s">
        <v>7</v>
      </c>
      <c r="L30" s="8">
        <f t="shared" si="4"/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5"/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">
      <c r="H31" s="4">
        <v>3</v>
      </c>
      <c r="I31" s="4">
        <v>3</v>
      </c>
      <c r="J31" s="4">
        <v>2</v>
      </c>
      <c r="K31" s="4" t="s">
        <v>7</v>
      </c>
      <c r="L31" s="8">
        <f t="shared" si="4"/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5"/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">
      <c r="H32" s="4">
        <v>18</v>
      </c>
      <c r="I32" s="4">
        <v>8</v>
      </c>
      <c r="J32" s="4">
        <v>9</v>
      </c>
      <c r="K32" s="4" t="s">
        <v>7</v>
      </c>
      <c r="L32" s="8">
        <f t="shared" si="4"/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 t="shared" si="5"/>
        <v>4.4721359549995796</v>
      </c>
      <c r="U32" s="12"/>
    </row>
    <row r="33" spans="8:35" ht="15.75" customHeight="1" x14ac:dyDescent="0.3">
      <c r="H33" s="4">
        <v>11</v>
      </c>
      <c r="I33" s="4">
        <v>1</v>
      </c>
      <c r="J33" s="4">
        <v>6</v>
      </c>
      <c r="K33" s="4" t="s">
        <v>9</v>
      </c>
      <c r="L33" s="8">
        <f t="shared" si="4"/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 t="shared" si="5"/>
        <v>5.0990195135927845</v>
      </c>
      <c r="U33" s="12"/>
    </row>
    <row r="34" spans="8:35" ht="15.75" customHeight="1" x14ac:dyDescent="0.3">
      <c r="H34" s="4">
        <v>2</v>
      </c>
      <c r="I34" s="4">
        <v>2</v>
      </c>
      <c r="J34" s="4">
        <v>1</v>
      </c>
      <c r="K34" s="4" t="s">
        <v>7</v>
      </c>
      <c r="L34" s="8">
        <f t="shared" si="4"/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5"/>
        <v>5.6568542494923806</v>
      </c>
      <c r="U34" s="12"/>
      <c r="AC34" s="29" t="s">
        <v>14</v>
      </c>
      <c r="AD34" s="30"/>
      <c r="AE34" s="30"/>
      <c r="AF34" s="30"/>
    </row>
    <row r="35" spans="8:35" ht="15.75" customHeight="1" x14ac:dyDescent="0.3">
      <c r="H35" s="4">
        <v>19</v>
      </c>
      <c r="I35" s="4">
        <v>9</v>
      </c>
      <c r="J35" s="4">
        <v>10</v>
      </c>
      <c r="K35" s="4" t="s">
        <v>9</v>
      </c>
      <c r="L35" s="8">
        <f t="shared" si="4"/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5"/>
        <v>5.8309518948453007</v>
      </c>
      <c r="U35" s="12"/>
      <c r="AC35" s="30"/>
      <c r="AD35" s="30"/>
      <c r="AE35" s="30"/>
      <c r="AF35" s="30"/>
    </row>
    <row r="36" spans="8:35" ht="15.75" customHeight="1" x14ac:dyDescent="0.3">
      <c r="H36" s="4">
        <v>1</v>
      </c>
      <c r="I36" s="4">
        <v>1</v>
      </c>
      <c r="J36" s="4">
        <v>1</v>
      </c>
      <c r="K36" s="4" t="s">
        <v>7</v>
      </c>
      <c r="L36" s="8">
        <f t="shared" si="4"/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5"/>
        <v>6.4031242374328485</v>
      </c>
      <c r="U36" s="12"/>
    </row>
    <row r="37" spans="8:35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4"/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5"/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">
      <c r="AC38" s="15">
        <v>14</v>
      </c>
      <c r="AD38" s="15">
        <v>4</v>
      </c>
      <c r="AE38" s="15">
        <v>7</v>
      </c>
      <c r="AF38" s="15" t="s">
        <v>7</v>
      </c>
      <c r="AG38" s="26">
        <f t="shared" ref="AG38:AG57" si="6"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">
      <c r="AC39" s="15">
        <v>15</v>
      </c>
      <c r="AD39" s="15">
        <v>5</v>
      </c>
      <c r="AE39" s="15">
        <v>8</v>
      </c>
      <c r="AF39" s="15" t="s">
        <v>9</v>
      </c>
      <c r="AG39" s="26">
        <f t="shared" si="6"/>
        <v>2</v>
      </c>
      <c r="AH39" s="23">
        <f t="shared" ref="AH39:AI42" si="7">AD39</f>
        <v>5</v>
      </c>
      <c r="AI39" s="23">
        <f t="shared" si="7"/>
        <v>8</v>
      </c>
    </row>
    <row r="40" spans="8:35" ht="15.75" customHeight="1" x14ac:dyDescent="0.3">
      <c r="AC40" s="15">
        <v>13</v>
      </c>
      <c r="AD40" s="15">
        <v>3</v>
      </c>
      <c r="AE40" s="15">
        <v>7</v>
      </c>
      <c r="AF40" s="15" t="s">
        <v>7</v>
      </c>
      <c r="AG40" s="26">
        <f t="shared" si="6"/>
        <v>2.2360679774997898</v>
      </c>
      <c r="AH40" s="23">
        <f t="shared" si="7"/>
        <v>3</v>
      </c>
      <c r="AI40" s="23">
        <f t="shared" si="7"/>
        <v>7</v>
      </c>
    </row>
    <row r="41" spans="8:35" ht="15.75" customHeight="1" x14ac:dyDescent="0.3">
      <c r="AC41" s="15">
        <v>16</v>
      </c>
      <c r="AD41" s="15">
        <v>6</v>
      </c>
      <c r="AE41" s="15">
        <v>8</v>
      </c>
      <c r="AF41" s="15" t="s">
        <v>9</v>
      </c>
      <c r="AG41" s="26">
        <f t="shared" si="6"/>
        <v>2.2360679774997898</v>
      </c>
      <c r="AH41" s="23">
        <f t="shared" si="7"/>
        <v>6</v>
      </c>
      <c r="AI41" s="23">
        <f t="shared" si="7"/>
        <v>8</v>
      </c>
    </row>
    <row r="42" spans="8:35" ht="15.75" customHeight="1" x14ac:dyDescent="0.3">
      <c r="AC42" s="15">
        <v>7</v>
      </c>
      <c r="AD42" s="15">
        <v>7</v>
      </c>
      <c r="AE42" s="15">
        <v>4</v>
      </c>
      <c r="AF42" s="15" t="s">
        <v>7</v>
      </c>
      <c r="AG42" s="26">
        <f t="shared" si="6"/>
        <v>2.8284271247461903</v>
      </c>
      <c r="AH42" s="23">
        <f t="shared" si="7"/>
        <v>7</v>
      </c>
      <c r="AI42" s="23">
        <f t="shared" si="7"/>
        <v>4</v>
      </c>
    </row>
    <row r="43" spans="8:35" ht="15.75" customHeight="1" x14ac:dyDescent="0.3">
      <c r="AC43" s="14">
        <v>5</v>
      </c>
      <c r="AD43" s="14">
        <v>5</v>
      </c>
      <c r="AE43" s="14">
        <v>3</v>
      </c>
      <c r="AF43" s="14" t="s">
        <v>9</v>
      </c>
      <c r="AG43" s="26">
        <f t="shared" si="6"/>
        <v>3</v>
      </c>
    </row>
    <row r="44" spans="8:35" ht="15.75" customHeight="1" x14ac:dyDescent="0.3">
      <c r="AC44" s="14">
        <v>12</v>
      </c>
      <c r="AD44" s="14">
        <v>2</v>
      </c>
      <c r="AE44" s="14">
        <v>6</v>
      </c>
      <c r="AF44" s="14" t="s">
        <v>9</v>
      </c>
      <c r="AG44" s="26">
        <f t="shared" si="6"/>
        <v>3</v>
      </c>
    </row>
    <row r="45" spans="8:35" ht="15.75" customHeight="1" x14ac:dyDescent="0.3">
      <c r="AC45" s="4">
        <v>6</v>
      </c>
      <c r="AD45" s="4">
        <v>6</v>
      </c>
      <c r="AE45" s="4">
        <v>3</v>
      </c>
      <c r="AF45" s="4" t="s">
        <v>9</v>
      </c>
      <c r="AG45" s="26">
        <f t="shared" si="6"/>
        <v>3.1622776601683795</v>
      </c>
    </row>
    <row r="46" spans="8:35" ht="15.75" customHeight="1" x14ac:dyDescent="0.3">
      <c r="AC46" s="4">
        <v>8</v>
      </c>
      <c r="AD46" s="4">
        <v>8</v>
      </c>
      <c r="AE46" s="4">
        <v>4</v>
      </c>
      <c r="AF46" s="4" t="s">
        <v>7</v>
      </c>
      <c r="AG46" s="26">
        <f t="shared" si="6"/>
        <v>3.6055512754639891</v>
      </c>
    </row>
    <row r="47" spans="8:35" ht="15.75" customHeight="1" x14ac:dyDescent="0.3">
      <c r="AC47" s="4">
        <v>17</v>
      </c>
      <c r="AD47" s="4">
        <v>7</v>
      </c>
      <c r="AE47" s="4">
        <v>9</v>
      </c>
      <c r="AF47" s="4" t="s">
        <v>7</v>
      </c>
      <c r="AG47" s="26">
        <f t="shared" si="6"/>
        <v>3.6055512754639891</v>
      </c>
    </row>
    <row r="48" spans="8:35" ht="15.75" customHeight="1" x14ac:dyDescent="0.3">
      <c r="AC48" s="4">
        <v>11</v>
      </c>
      <c r="AD48" s="4">
        <v>1</v>
      </c>
      <c r="AE48" s="4">
        <v>6</v>
      </c>
      <c r="AF48" s="4" t="s">
        <v>9</v>
      </c>
      <c r="AG48" s="26">
        <f t="shared" si="6"/>
        <v>4</v>
      </c>
    </row>
    <row r="49" spans="29:33" ht="15.75" customHeight="1" x14ac:dyDescent="0.3">
      <c r="AC49" s="4">
        <v>4</v>
      </c>
      <c r="AD49" s="4">
        <v>4</v>
      </c>
      <c r="AE49" s="4">
        <v>2</v>
      </c>
      <c r="AF49" s="4" t="s">
        <v>9</v>
      </c>
      <c r="AG49" s="26">
        <f t="shared" si="6"/>
        <v>4.1231056256176606</v>
      </c>
    </row>
    <row r="50" spans="29:33" ht="15.75" customHeight="1" x14ac:dyDescent="0.3">
      <c r="AC50" s="4">
        <v>9</v>
      </c>
      <c r="AD50" s="4">
        <v>9</v>
      </c>
      <c r="AE50" s="4">
        <v>5</v>
      </c>
      <c r="AF50" s="4" t="s">
        <v>9</v>
      </c>
      <c r="AG50" s="26">
        <f t="shared" si="6"/>
        <v>4.1231056256176606</v>
      </c>
    </row>
    <row r="51" spans="29:33" ht="15.75" customHeight="1" x14ac:dyDescent="0.3">
      <c r="AC51" s="4">
        <v>18</v>
      </c>
      <c r="AD51" s="4">
        <v>8</v>
      </c>
      <c r="AE51" s="4">
        <v>9</v>
      </c>
      <c r="AF51" s="4" t="s">
        <v>7</v>
      </c>
      <c r="AG51" s="26">
        <f t="shared" si="6"/>
        <v>4.2426406871192848</v>
      </c>
    </row>
    <row r="52" spans="29:33" ht="15.75" customHeight="1" x14ac:dyDescent="0.3">
      <c r="AC52" s="4">
        <v>3</v>
      </c>
      <c r="AD52" s="4">
        <v>3</v>
      </c>
      <c r="AE52" s="4">
        <v>2</v>
      </c>
      <c r="AF52" s="4" t="s">
        <v>7</v>
      </c>
      <c r="AG52" s="26">
        <f t="shared" si="6"/>
        <v>4.4721359549995796</v>
      </c>
    </row>
    <row r="53" spans="29:33" ht="15.75" customHeight="1" x14ac:dyDescent="0.3">
      <c r="AC53" s="4">
        <v>10</v>
      </c>
      <c r="AD53" s="4">
        <v>10</v>
      </c>
      <c r="AE53" s="4">
        <v>5</v>
      </c>
      <c r="AF53" s="4" t="s">
        <v>7</v>
      </c>
      <c r="AG53" s="26">
        <f t="shared" si="6"/>
        <v>5.0990195135927845</v>
      </c>
    </row>
    <row r="54" spans="29:33" ht="15.75" customHeight="1" x14ac:dyDescent="0.3">
      <c r="AC54" s="4">
        <v>19</v>
      </c>
      <c r="AD54" s="4">
        <v>9</v>
      </c>
      <c r="AE54" s="4">
        <v>10</v>
      </c>
      <c r="AF54" s="4" t="s">
        <v>9</v>
      </c>
      <c r="AG54" s="26">
        <f t="shared" si="6"/>
        <v>5.6568542494923806</v>
      </c>
    </row>
    <row r="55" spans="29:33" ht="15.75" customHeight="1" x14ac:dyDescent="0.3">
      <c r="AC55" s="4">
        <v>2</v>
      </c>
      <c r="AD55" s="4">
        <v>2</v>
      </c>
      <c r="AE55" s="4">
        <v>1</v>
      </c>
      <c r="AF55" s="4" t="s">
        <v>7</v>
      </c>
      <c r="AG55" s="26">
        <f t="shared" si="6"/>
        <v>5.8309518948453007</v>
      </c>
    </row>
    <row r="56" spans="29:33" ht="15.75" customHeight="1" x14ac:dyDescent="0.3">
      <c r="AC56" s="4">
        <v>1</v>
      </c>
      <c r="AD56" s="4">
        <v>1</v>
      </c>
      <c r="AE56" s="4">
        <v>1</v>
      </c>
      <c r="AF56" s="4" t="s">
        <v>7</v>
      </c>
      <c r="AG56" s="26">
        <f t="shared" si="6"/>
        <v>6.4031242374328485</v>
      </c>
    </row>
    <row r="57" spans="29:33" ht="15.75" customHeight="1" x14ac:dyDescent="0.3">
      <c r="AC57" s="4">
        <v>20</v>
      </c>
      <c r="AD57" s="4">
        <v>10</v>
      </c>
      <c r="AE57" s="4">
        <v>10</v>
      </c>
      <c r="AF57" s="4" t="s">
        <v>7</v>
      </c>
      <c r="AG57" s="26">
        <f t="shared" si="6"/>
        <v>6.4031242374328485</v>
      </c>
    </row>
    <row r="58" spans="29:33" ht="15.75" customHeight="1" x14ac:dyDescent="0.3"/>
    <row r="59" spans="29:33" ht="15.75" customHeight="1" x14ac:dyDescent="0.3"/>
    <row r="60" spans="29:33" ht="15.75" customHeight="1" x14ac:dyDescent="0.3"/>
    <row r="61" spans="29:33" ht="15.75" customHeight="1" x14ac:dyDescent="0.3"/>
    <row r="62" spans="29:33" ht="15.75" customHeight="1" x14ac:dyDescent="0.3"/>
    <row r="63" spans="29:33" ht="15.75" customHeight="1" x14ac:dyDescent="0.3"/>
    <row r="64" spans="29:3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16ED-7240-4541-82EA-88C2D86CF78C}">
  <dimension ref="C2:AL1000"/>
  <sheetViews>
    <sheetView workbookViewId="0">
      <selection activeCell="AG33" sqref="AG33"/>
    </sheetView>
  </sheetViews>
  <sheetFormatPr defaultColWidth="14.44140625" defaultRowHeight="15" customHeight="1" x14ac:dyDescent="0.3"/>
  <cols>
    <col min="1" max="11" width="8.77734375" customWidth="1"/>
    <col min="12" max="13" width="14.109375" customWidth="1"/>
    <col min="14" max="19" width="8.77734375" customWidth="1"/>
    <col min="20" max="20" width="14.109375" customWidth="1"/>
    <col min="21" max="21" width="5.77734375" customWidth="1"/>
    <col min="22" max="32" width="8.77734375" customWidth="1"/>
    <col min="33" max="36" width="13.21875" customWidth="1"/>
    <col min="37" max="42" width="8.77734375" customWidth="1"/>
  </cols>
  <sheetData>
    <row r="2" spans="3:38" ht="46.2" x14ac:dyDescent="0.85">
      <c r="J2" s="18" t="s">
        <v>0</v>
      </c>
    </row>
    <row r="4" spans="3:38" ht="14.4" x14ac:dyDescent="0.3">
      <c r="C4" s="1" t="s">
        <v>1</v>
      </c>
    </row>
    <row r="5" spans="3:38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1" t="s">
        <v>18</v>
      </c>
      <c r="Q7" s="31"/>
      <c r="R7" s="31"/>
      <c r="S7" s="31"/>
    </row>
    <row r="8" spans="3:38" ht="14.4" x14ac:dyDescent="0.3">
      <c r="C8" s="4">
        <v>3</v>
      </c>
      <c r="D8" s="4">
        <v>3</v>
      </c>
      <c r="E8" s="4">
        <v>2</v>
      </c>
      <c r="F8" s="4" t="s">
        <v>7</v>
      </c>
      <c r="P8" s="31"/>
      <c r="Q8" s="31"/>
      <c r="R8" s="31"/>
      <c r="S8" s="31"/>
    </row>
    <row r="9" spans="3:38" ht="15" customHeight="1" x14ac:dyDescent="0.3">
      <c r="C9" s="4">
        <v>4</v>
      </c>
      <c r="D9" s="4">
        <v>4</v>
      </c>
      <c r="E9" s="4">
        <v>2</v>
      </c>
      <c r="F9" s="4" t="s">
        <v>9</v>
      </c>
      <c r="H9" s="32" t="s">
        <v>10</v>
      </c>
      <c r="I9" s="30"/>
      <c r="P9" s="16" t="s">
        <v>12</v>
      </c>
      <c r="AC9" s="32" t="s">
        <v>11</v>
      </c>
      <c r="AD9" s="30"/>
      <c r="AE9" s="30"/>
      <c r="AF9" s="30"/>
    </row>
    <row r="10" spans="3:38" ht="14.4" x14ac:dyDescent="0.3">
      <c r="C10" s="4">
        <v>5</v>
      </c>
      <c r="D10" s="4">
        <v>5</v>
      </c>
      <c r="E10" s="4">
        <v>3</v>
      </c>
      <c r="F10" s="4" t="s">
        <v>9</v>
      </c>
      <c r="H10" s="33" t="s">
        <v>17</v>
      </c>
      <c r="I10" s="30"/>
      <c r="J10" s="30"/>
      <c r="K10" s="30"/>
      <c r="L10" s="30"/>
      <c r="M10" s="30"/>
      <c r="N10" s="30"/>
      <c r="P10" t="s">
        <v>19</v>
      </c>
    </row>
    <row r="11" spans="3:38" ht="14.4" x14ac:dyDescent="0.3">
      <c r="C11" s="4">
        <v>6</v>
      </c>
      <c r="D11" s="4">
        <v>6</v>
      </c>
      <c r="E11" s="4">
        <v>3</v>
      </c>
      <c r="F11" s="4" t="s">
        <v>9</v>
      </c>
      <c r="H11" s="30"/>
      <c r="I11" s="30"/>
      <c r="J11" s="30"/>
      <c r="K11" s="30"/>
      <c r="L11" s="30"/>
      <c r="M11" s="30"/>
      <c r="N11" s="30"/>
      <c r="P11" s="28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P12" s="28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4" x14ac:dyDescent="0.3">
      <c r="C13" s="4">
        <v>8</v>
      </c>
      <c r="D13" s="4">
        <v>8</v>
      </c>
      <c r="E13" s="4">
        <v>4</v>
      </c>
      <c r="F13" s="4" t="s">
        <v>7</v>
      </c>
      <c r="P13" s="28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4" x14ac:dyDescent="0.3">
      <c r="C14" s="4">
        <v>9</v>
      </c>
      <c r="D14" s="4">
        <v>9</v>
      </c>
      <c r="E14" s="4">
        <v>5</v>
      </c>
      <c r="F14" s="4" t="s">
        <v>9</v>
      </c>
      <c r="L14" s="10"/>
      <c r="P14" s="28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4" x14ac:dyDescent="0.3">
      <c r="C15" s="4">
        <v>10</v>
      </c>
      <c r="D15" s="4">
        <v>10</v>
      </c>
      <c r="E15" s="4">
        <v>5</v>
      </c>
      <c r="F15" s="4" t="s">
        <v>7</v>
      </c>
      <c r="P15" s="28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 t="shared" ref="L18:L37" si="4"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 t="shared" ref="T18:T37" si="5"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 t="shared" si="4"/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 t="shared" si="5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 t="shared" si="4"/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5"/>
        <v>2.2360679774997898</v>
      </c>
      <c r="U20" s="13"/>
      <c r="V20" s="28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 t="shared" si="4"/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 t="shared" si="5"/>
        <v>2.2360679774997898</v>
      </c>
      <c r="U21" s="12"/>
      <c r="V21" s="34" t="s">
        <v>32</v>
      </c>
      <c r="W21" s="34"/>
      <c r="X21" s="34"/>
      <c r="Y21" s="34"/>
      <c r="Z21" s="34"/>
      <c r="AA21" s="34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 t="shared" si="4"/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 t="shared" si="5"/>
        <v>2.8284271247461903</v>
      </c>
      <c r="U22" s="12"/>
      <c r="V22" s="34"/>
      <c r="W22" s="34"/>
      <c r="X22" s="34"/>
      <c r="Y22" s="34"/>
      <c r="Z22" s="34"/>
      <c r="AA22" s="34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 t="shared" si="4"/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 t="shared" si="5"/>
        <v>3</v>
      </c>
      <c r="U23" s="12"/>
      <c r="V23" s="34"/>
      <c r="W23" s="34"/>
      <c r="X23" s="34"/>
      <c r="Y23" s="34"/>
      <c r="Z23" s="34"/>
      <c r="AA23" s="34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 t="shared" si="4"/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 t="shared" si="5"/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 t="shared" si="4"/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5"/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 t="shared" si="4"/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 t="shared" si="5"/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">
      <c r="H27" s="4">
        <v>13</v>
      </c>
      <c r="I27" s="4">
        <v>3</v>
      </c>
      <c r="J27" s="4">
        <v>7</v>
      </c>
      <c r="K27" s="4" t="s">
        <v>7</v>
      </c>
      <c r="L27" s="8">
        <f t="shared" si="4"/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 t="shared" si="5"/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">
      <c r="H28" s="4">
        <v>10</v>
      </c>
      <c r="I28" s="4">
        <v>10</v>
      </c>
      <c r="J28" s="4">
        <v>5</v>
      </c>
      <c r="K28" s="4" t="s">
        <v>7</v>
      </c>
      <c r="L28" s="8">
        <f t="shared" si="4"/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 t="shared" si="5"/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4"/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 t="shared" si="5"/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">
      <c r="H30" s="4">
        <v>17</v>
      </c>
      <c r="I30" s="4">
        <v>7</v>
      </c>
      <c r="J30" s="4">
        <v>9</v>
      </c>
      <c r="K30" s="4" t="s">
        <v>7</v>
      </c>
      <c r="L30" s="8">
        <f t="shared" si="4"/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5"/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">
      <c r="H31" s="4">
        <v>3</v>
      </c>
      <c r="I31" s="4">
        <v>3</v>
      </c>
      <c r="J31" s="4">
        <v>2</v>
      </c>
      <c r="K31" s="4" t="s">
        <v>7</v>
      </c>
      <c r="L31" s="8">
        <f t="shared" si="4"/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5"/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">
      <c r="H32" s="4">
        <v>18</v>
      </c>
      <c r="I32" s="4">
        <v>8</v>
      </c>
      <c r="J32" s="4">
        <v>9</v>
      </c>
      <c r="K32" s="4" t="s">
        <v>7</v>
      </c>
      <c r="L32" s="8">
        <f t="shared" si="4"/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 t="shared" si="5"/>
        <v>4.4721359549995796</v>
      </c>
      <c r="U32" s="12"/>
    </row>
    <row r="33" spans="8:35" ht="15.75" customHeight="1" x14ac:dyDescent="0.3">
      <c r="H33" s="4">
        <v>11</v>
      </c>
      <c r="I33" s="4">
        <v>1</v>
      </c>
      <c r="J33" s="4">
        <v>6</v>
      </c>
      <c r="K33" s="4" t="s">
        <v>9</v>
      </c>
      <c r="L33" s="8">
        <f t="shared" si="4"/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 t="shared" si="5"/>
        <v>5.0990195135927845</v>
      </c>
      <c r="U33" s="12"/>
    </row>
    <row r="34" spans="8:35" ht="15.75" customHeight="1" x14ac:dyDescent="0.3">
      <c r="H34" s="4">
        <v>2</v>
      </c>
      <c r="I34" s="4">
        <v>2</v>
      </c>
      <c r="J34" s="4">
        <v>1</v>
      </c>
      <c r="K34" s="4" t="s">
        <v>7</v>
      </c>
      <c r="L34" s="8">
        <f t="shared" si="4"/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5"/>
        <v>5.6568542494923806</v>
      </c>
      <c r="U34" s="12"/>
      <c r="AC34" s="29" t="s">
        <v>14</v>
      </c>
      <c r="AD34" s="30"/>
      <c r="AE34" s="30"/>
      <c r="AF34" s="30"/>
    </row>
    <row r="35" spans="8:35" ht="15.75" customHeight="1" x14ac:dyDescent="0.3">
      <c r="H35" s="4">
        <v>19</v>
      </c>
      <c r="I35" s="4">
        <v>9</v>
      </c>
      <c r="J35" s="4">
        <v>10</v>
      </c>
      <c r="K35" s="4" t="s">
        <v>9</v>
      </c>
      <c r="L35" s="8">
        <f t="shared" si="4"/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5"/>
        <v>5.8309518948453007</v>
      </c>
      <c r="U35" s="12"/>
      <c r="AC35" s="30"/>
      <c r="AD35" s="30"/>
      <c r="AE35" s="30"/>
      <c r="AF35" s="30"/>
    </row>
    <row r="36" spans="8:35" ht="15.75" customHeight="1" x14ac:dyDescent="0.3">
      <c r="H36" s="4">
        <v>1</v>
      </c>
      <c r="I36" s="4">
        <v>1</v>
      </c>
      <c r="J36" s="4">
        <v>1</v>
      </c>
      <c r="K36" s="4" t="s">
        <v>7</v>
      </c>
      <c r="L36" s="8">
        <f t="shared" si="4"/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5"/>
        <v>6.4031242374328485</v>
      </c>
      <c r="U36" s="12"/>
    </row>
    <row r="37" spans="8:35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4"/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5"/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">
      <c r="AC38" s="15">
        <v>14</v>
      </c>
      <c r="AD38" s="15">
        <v>4</v>
      </c>
      <c r="AE38" s="15">
        <v>7</v>
      </c>
      <c r="AF38" s="15" t="s">
        <v>7</v>
      </c>
      <c r="AG38" s="26">
        <f t="shared" ref="AG38:AG57" si="6"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">
      <c r="AC39" s="15">
        <v>15</v>
      </c>
      <c r="AD39" s="15">
        <v>5</v>
      </c>
      <c r="AE39" s="15">
        <v>8</v>
      </c>
      <c r="AF39" s="15" t="s">
        <v>9</v>
      </c>
      <c r="AG39" s="26">
        <f t="shared" si="6"/>
        <v>2</v>
      </c>
      <c r="AH39" s="23">
        <f t="shared" ref="AH39:AI42" si="7">AD39</f>
        <v>5</v>
      </c>
      <c r="AI39" s="23">
        <f t="shared" si="7"/>
        <v>8</v>
      </c>
    </row>
    <row r="40" spans="8:35" ht="15.75" customHeight="1" x14ac:dyDescent="0.3">
      <c r="AC40" s="15">
        <v>13</v>
      </c>
      <c r="AD40" s="15">
        <v>3</v>
      </c>
      <c r="AE40" s="15">
        <v>7</v>
      </c>
      <c r="AF40" s="15" t="s">
        <v>7</v>
      </c>
      <c r="AG40" s="26">
        <f t="shared" si="6"/>
        <v>2.2360679774997898</v>
      </c>
      <c r="AH40" s="23">
        <f t="shared" si="7"/>
        <v>3</v>
      </c>
      <c r="AI40" s="23">
        <f t="shared" si="7"/>
        <v>7</v>
      </c>
    </row>
    <row r="41" spans="8:35" ht="15.75" customHeight="1" x14ac:dyDescent="0.3">
      <c r="AC41" s="15">
        <v>16</v>
      </c>
      <c r="AD41" s="15">
        <v>6</v>
      </c>
      <c r="AE41" s="15">
        <v>8</v>
      </c>
      <c r="AF41" s="15" t="s">
        <v>9</v>
      </c>
      <c r="AG41" s="26">
        <f t="shared" si="6"/>
        <v>2.2360679774997898</v>
      </c>
      <c r="AH41" s="23">
        <f t="shared" si="7"/>
        <v>6</v>
      </c>
      <c r="AI41" s="23">
        <f t="shared" si="7"/>
        <v>8</v>
      </c>
    </row>
    <row r="42" spans="8:35" ht="15.75" customHeight="1" x14ac:dyDescent="0.3">
      <c r="AC42" s="15">
        <v>7</v>
      </c>
      <c r="AD42" s="15">
        <v>7</v>
      </c>
      <c r="AE42" s="15">
        <v>4</v>
      </c>
      <c r="AF42" s="15" t="s">
        <v>7</v>
      </c>
      <c r="AG42" s="26">
        <f t="shared" si="6"/>
        <v>2.8284271247461903</v>
      </c>
      <c r="AH42" s="23">
        <f t="shared" si="7"/>
        <v>7</v>
      </c>
      <c r="AI42" s="23">
        <f t="shared" si="7"/>
        <v>4</v>
      </c>
    </row>
    <row r="43" spans="8:35" ht="15.75" customHeight="1" x14ac:dyDescent="0.3">
      <c r="AC43" s="14">
        <v>5</v>
      </c>
      <c r="AD43" s="14">
        <v>5</v>
      </c>
      <c r="AE43" s="14">
        <v>3</v>
      </c>
      <c r="AF43" s="14" t="s">
        <v>9</v>
      </c>
      <c r="AG43" s="26">
        <f t="shared" si="6"/>
        <v>3</v>
      </c>
    </row>
    <row r="44" spans="8:35" ht="15.75" customHeight="1" x14ac:dyDescent="0.3">
      <c r="AC44" s="14">
        <v>12</v>
      </c>
      <c r="AD44" s="14">
        <v>2</v>
      </c>
      <c r="AE44" s="14">
        <v>6</v>
      </c>
      <c r="AF44" s="14" t="s">
        <v>9</v>
      </c>
      <c r="AG44" s="26">
        <f t="shared" si="6"/>
        <v>3</v>
      </c>
    </row>
    <row r="45" spans="8:35" ht="15.75" customHeight="1" x14ac:dyDescent="0.3">
      <c r="AC45" s="4">
        <v>6</v>
      </c>
      <c r="AD45" s="4">
        <v>6</v>
      </c>
      <c r="AE45" s="4">
        <v>3</v>
      </c>
      <c r="AF45" s="4" t="s">
        <v>9</v>
      </c>
      <c r="AG45" s="26">
        <f t="shared" si="6"/>
        <v>3.1622776601683795</v>
      </c>
    </row>
    <row r="46" spans="8:35" ht="15.75" customHeight="1" x14ac:dyDescent="0.3">
      <c r="AC46" s="4">
        <v>8</v>
      </c>
      <c r="AD46" s="4">
        <v>8</v>
      </c>
      <c r="AE46" s="4">
        <v>4</v>
      </c>
      <c r="AF46" s="4" t="s">
        <v>7</v>
      </c>
      <c r="AG46" s="26">
        <f t="shared" si="6"/>
        <v>3.6055512754639891</v>
      </c>
    </row>
    <row r="47" spans="8:35" ht="15.75" customHeight="1" x14ac:dyDescent="0.3">
      <c r="AC47" s="4">
        <v>17</v>
      </c>
      <c r="AD47" s="4">
        <v>7</v>
      </c>
      <c r="AE47" s="4">
        <v>9</v>
      </c>
      <c r="AF47" s="4" t="s">
        <v>7</v>
      </c>
      <c r="AG47" s="26">
        <f t="shared" si="6"/>
        <v>3.6055512754639891</v>
      </c>
    </row>
    <row r="48" spans="8:35" ht="15.75" customHeight="1" x14ac:dyDescent="0.3">
      <c r="AC48" s="4">
        <v>11</v>
      </c>
      <c r="AD48" s="4">
        <v>1</v>
      </c>
      <c r="AE48" s="4">
        <v>6</v>
      </c>
      <c r="AF48" s="4" t="s">
        <v>9</v>
      </c>
      <c r="AG48" s="26">
        <f t="shared" si="6"/>
        <v>4</v>
      </c>
    </row>
    <row r="49" spans="29:33" ht="15.75" customHeight="1" x14ac:dyDescent="0.3">
      <c r="AC49" s="4">
        <v>4</v>
      </c>
      <c r="AD49" s="4">
        <v>4</v>
      </c>
      <c r="AE49" s="4">
        <v>2</v>
      </c>
      <c r="AF49" s="4" t="s">
        <v>9</v>
      </c>
      <c r="AG49" s="26">
        <f t="shared" si="6"/>
        <v>4.1231056256176606</v>
      </c>
    </row>
    <row r="50" spans="29:33" ht="15.75" customHeight="1" x14ac:dyDescent="0.3">
      <c r="AC50" s="4">
        <v>9</v>
      </c>
      <c r="AD50" s="4">
        <v>9</v>
      </c>
      <c r="AE50" s="4">
        <v>5</v>
      </c>
      <c r="AF50" s="4" t="s">
        <v>9</v>
      </c>
      <c r="AG50" s="26">
        <f t="shared" si="6"/>
        <v>4.1231056256176606</v>
      </c>
    </row>
    <row r="51" spans="29:33" ht="15.75" customHeight="1" x14ac:dyDescent="0.3">
      <c r="AC51" s="4">
        <v>18</v>
      </c>
      <c r="AD51" s="4">
        <v>8</v>
      </c>
      <c r="AE51" s="4">
        <v>9</v>
      </c>
      <c r="AF51" s="4" t="s">
        <v>7</v>
      </c>
      <c r="AG51" s="26">
        <f t="shared" si="6"/>
        <v>4.2426406871192848</v>
      </c>
    </row>
    <row r="52" spans="29:33" ht="15.75" customHeight="1" x14ac:dyDescent="0.3">
      <c r="AC52" s="4">
        <v>3</v>
      </c>
      <c r="AD52" s="4">
        <v>3</v>
      </c>
      <c r="AE52" s="4">
        <v>2</v>
      </c>
      <c r="AF52" s="4" t="s">
        <v>7</v>
      </c>
      <c r="AG52" s="26">
        <f t="shared" si="6"/>
        <v>4.4721359549995796</v>
      </c>
    </row>
    <row r="53" spans="29:33" ht="15.75" customHeight="1" x14ac:dyDescent="0.3">
      <c r="AC53" s="4">
        <v>10</v>
      </c>
      <c r="AD53" s="4">
        <v>10</v>
      </c>
      <c r="AE53" s="4">
        <v>5</v>
      </c>
      <c r="AF53" s="4" t="s">
        <v>7</v>
      </c>
      <c r="AG53" s="26">
        <f t="shared" si="6"/>
        <v>5.0990195135927845</v>
      </c>
    </row>
    <row r="54" spans="29:33" ht="15.75" customHeight="1" x14ac:dyDescent="0.3">
      <c r="AC54" s="4">
        <v>19</v>
      </c>
      <c r="AD54" s="4">
        <v>9</v>
      </c>
      <c r="AE54" s="4">
        <v>10</v>
      </c>
      <c r="AF54" s="4" t="s">
        <v>9</v>
      </c>
      <c r="AG54" s="26">
        <f t="shared" si="6"/>
        <v>5.6568542494923806</v>
      </c>
    </row>
    <row r="55" spans="29:33" ht="15.75" customHeight="1" x14ac:dyDescent="0.3">
      <c r="AC55" s="4">
        <v>2</v>
      </c>
      <c r="AD55" s="4">
        <v>2</v>
      </c>
      <c r="AE55" s="4">
        <v>1</v>
      </c>
      <c r="AF55" s="4" t="s">
        <v>7</v>
      </c>
      <c r="AG55" s="26">
        <f t="shared" si="6"/>
        <v>5.8309518948453007</v>
      </c>
    </row>
    <row r="56" spans="29:33" ht="15.75" customHeight="1" x14ac:dyDescent="0.3">
      <c r="AC56" s="4">
        <v>1</v>
      </c>
      <c r="AD56" s="4">
        <v>1</v>
      </c>
      <c r="AE56" s="4">
        <v>1</v>
      </c>
      <c r="AF56" s="4" t="s">
        <v>7</v>
      </c>
      <c r="AG56" s="26">
        <f t="shared" si="6"/>
        <v>6.4031242374328485</v>
      </c>
    </row>
    <row r="57" spans="29:33" ht="15.75" customHeight="1" x14ac:dyDescent="0.3">
      <c r="AC57" s="4">
        <v>20</v>
      </c>
      <c r="AD57" s="4">
        <v>10</v>
      </c>
      <c r="AE57" s="4">
        <v>10</v>
      </c>
      <c r="AF57" s="4" t="s">
        <v>7</v>
      </c>
      <c r="AG57" s="26">
        <f t="shared" si="6"/>
        <v>6.4031242374328485</v>
      </c>
    </row>
    <row r="58" spans="29:33" ht="15.75" customHeight="1" x14ac:dyDescent="0.3"/>
    <row r="59" spans="29:33" ht="15.75" customHeight="1" x14ac:dyDescent="0.3"/>
    <row r="60" spans="29:33" ht="15.75" customHeight="1" x14ac:dyDescent="0.3"/>
    <row r="61" spans="29:33" ht="15.75" customHeight="1" x14ac:dyDescent="0.3"/>
    <row r="62" spans="29:33" ht="15.75" customHeight="1" x14ac:dyDescent="0.3"/>
    <row r="63" spans="29:33" ht="15.75" customHeight="1" x14ac:dyDescent="0.3"/>
    <row r="64" spans="29:3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6747-492E-4D42-9F5E-3F7B67C5BEA8}">
  <dimension ref="C2:AL1000"/>
  <sheetViews>
    <sheetView workbookViewId="0">
      <selection activeCell="AG33" sqref="AG33"/>
    </sheetView>
  </sheetViews>
  <sheetFormatPr defaultColWidth="14.44140625" defaultRowHeight="15" customHeight="1" x14ac:dyDescent="0.3"/>
  <cols>
    <col min="1" max="11" width="8.77734375" customWidth="1"/>
    <col min="12" max="13" width="14.109375" customWidth="1"/>
    <col min="14" max="19" width="8.77734375" customWidth="1"/>
    <col min="20" max="20" width="14.109375" customWidth="1"/>
    <col min="21" max="21" width="5.77734375" customWidth="1"/>
    <col min="22" max="32" width="8.77734375" customWidth="1"/>
    <col min="33" max="36" width="13.21875" customWidth="1"/>
    <col min="37" max="42" width="8.77734375" customWidth="1"/>
  </cols>
  <sheetData>
    <row r="2" spans="3:38" ht="46.2" x14ac:dyDescent="0.85">
      <c r="J2" s="18" t="s">
        <v>0</v>
      </c>
    </row>
    <row r="4" spans="3:38" ht="14.4" x14ac:dyDescent="0.3">
      <c r="C4" s="1" t="s">
        <v>1</v>
      </c>
    </row>
    <row r="5" spans="3:38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1" t="s">
        <v>18</v>
      </c>
      <c r="Q7" s="31"/>
      <c r="R7" s="31"/>
      <c r="S7" s="31"/>
    </row>
    <row r="8" spans="3:38" ht="14.4" x14ac:dyDescent="0.3">
      <c r="C8" s="4">
        <v>3</v>
      </c>
      <c r="D8" s="4">
        <v>3</v>
      </c>
      <c r="E8" s="4">
        <v>2</v>
      </c>
      <c r="F8" s="4" t="s">
        <v>7</v>
      </c>
      <c r="P8" s="31"/>
      <c r="Q8" s="31"/>
      <c r="R8" s="31"/>
      <c r="S8" s="31"/>
    </row>
    <row r="9" spans="3:38" ht="15" customHeight="1" x14ac:dyDescent="0.3">
      <c r="C9" s="4">
        <v>4</v>
      </c>
      <c r="D9" s="4">
        <v>4</v>
      </c>
      <c r="E9" s="4">
        <v>2</v>
      </c>
      <c r="F9" s="4" t="s">
        <v>9</v>
      </c>
      <c r="H9" s="32" t="s">
        <v>10</v>
      </c>
      <c r="I9" s="30"/>
      <c r="P9" s="16" t="s">
        <v>12</v>
      </c>
      <c r="AC9" s="32" t="s">
        <v>11</v>
      </c>
      <c r="AD9" s="30"/>
      <c r="AE9" s="30"/>
      <c r="AF9" s="30"/>
    </row>
    <row r="10" spans="3:38" ht="14.4" x14ac:dyDescent="0.3">
      <c r="C10" s="4">
        <v>5</v>
      </c>
      <c r="D10" s="4">
        <v>5</v>
      </c>
      <c r="E10" s="4">
        <v>3</v>
      </c>
      <c r="F10" s="4" t="s">
        <v>9</v>
      </c>
      <c r="H10" s="33" t="s">
        <v>17</v>
      </c>
      <c r="I10" s="30"/>
      <c r="J10" s="30"/>
      <c r="K10" s="30"/>
      <c r="L10" s="30"/>
      <c r="M10" s="30"/>
      <c r="N10" s="30"/>
      <c r="P10" t="s">
        <v>19</v>
      </c>
    </row>
    <row r="11" spans="3:38" ht="14.4" x14ac:dyDescent="0.3">
      <c r="C11" s="4">
        <v>6</v>
      </c>
      <c r="D11" s="4">
        <v>6</v>
      </c>
      <c r="E11" s="4">
        <v>3</v>
      </c>
      <c r="F11" s="4" t="s">
        <v>9</v>
      </c>
      <c r="H11" s="30"/>
      <c r="I11" s="30"/>
      <c r="J11" s="30"/>
      <c r="K11" s="30"/>
      <c r="L11" s="30"/>
      <c r="M11" s="30"/>
      <c r="N11" s="30"/>
      <c r="P11" s="28" t="s">
        <v>27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21</v>
      </c>
      <c r="AH11" s="24" t="s">
        <v>22</v>
      </c>
      <c r="AI11" s="24" t="s">
        <v>23</v>
      </c>
      <c r="AJ11" s="24" t="s">
        <v>24</v>
      </c>
    </row>
    <row r="12" spans="3:38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P12" s="28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4" x14ac:dyDescent="0.3">
      <c r="C13" s="4">
        <v>8</v>
      </c>
      <c r="D13" s="4">
        <v>8</v>
      </c>
      <c r="E13" s="4">
        <v>4</v>
      </c>
      <c r="F13" s="4" t="s">
        <v>7</v>
      </c>
      <c r="P13" s="28" t="s">
        <v>28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4" x14ac:dyDescent="0.3">
      <c r="C14" s="4">
        <v>9</v>
      </c>
      <c r="D14" s="4">
        <v>9</v>
      </c>
      <c r="E14" s="4">
        <v>5</v>
      </c>
      <c r="F14" s="4" t="s">
        <v>9</v>
      </c>
      <c r="L14" s="10"/>
      <c r="P14" s="28" t="s">
        <v>29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4" x14ac:dyDescent="0.3">
      <c r="C15" s="4">
        <v>10</v>
      </c>
      <c r="D15" s="4">
        <v>10</v>
      </c>
      <c r="E15" s="4">
        <v>5</v>
      </c>
      <c r="F15" s="4" t="s">
        <v>7</v>
      </c>
      <c r="P15" s="28" t="s">
        <v>30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7</v>
      </c>
      <c r="I18" s="4">
        <v>7</v>
      </c>
      <c r="J18" s="4">
        <v>4</v>
      </c>
      <c r="K18" s="4" t="s">
        <v>7</v>
      </c>
      <c r="L18" s="8">
        <f t="shared" ref="L18:L37" si="4">((ABS(I18-6)^2)+ABS((J18-5)^2))^(1/2)</f>
        <v>1.4142135623730951</v>
      </c>
      <c r="M18" s="12"/>
      <c r="P18" s="15">
        <v>7</v>
      </c>
      <c r="Q18" s="15">
        <v>7</v>
      </c>
      <c r="R18" s="15">
        <v>4</v>
      </c>
      <c r="S18" s="15" t="s">
        <v>7</v>
      </c>
      <c r="T18" s="9">
        <f t="shared" ref="T18:T37" si="5">((ABS(Q18-6)^2)+(ABS(R18-5)^2))^(1/2)</f>
        <v>1.4142135623730951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6</v>
      </c>
      <c r="I19" s="4">
        <v>6</v>
      </c>
      <c r="J19" s="4">
        <v>3</v>
      </c>
      <c r="K19" s="4" t="s">
        <v>9</v>
      </c>
      <c r="L19" s="8">
        <f t="shared" si="4"/>
        <v>2</v>
      </c>
      <c r="M19" s="12"/>
      <c r="P19" s="15">
        <v>6</v>
      </c>
      <c r="Q19" s="15">
        <v>6</v>
      </c>
      <c r="R19" s="15">
        <v>3</v>
      </c>
      <c r="S19" s="15" t="s">
        <v>9</v>
      </c>
      <c r="T19" s="9">
        <f t="shared" si="5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5</v>
      </c>
      <c r="I20" s="4">
        <v>5</v>
      </c>
      <c r="J20" s="4">
        <v>3</v>
      </c>
      <c r="K20" s="4" t="s">
        <v>9</v>
      </c>
      <c r="L20" s="8">
        <f t="shared" si="4"/>
        <v>2.2360679774997898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5"/>
        <v>2.2360679774997898</v>
      </c>
      <c r="U20" s="13"/>
      <c r="V20" s="28" t="s">
        <v>31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8</v>
      </c>
      <c r="I21" s="4">
        <v>8</v>
      </c>
      <c r="J21" s="4">
        <v>4</v>
      </c>
      <c r="K21" s="4" t="s">
        <v>7</v>
      </c>
      <c r="L21" s="8">
        <f t="shared" si="4"/>
        <v>2.2360679774997898</v>
      </c>
      <c r="M21" s="12"/>
      <c r="P21" s="15">
        <v>8</v>
      </c>
      <c r="Q21" s="15">
        <v>8</v>
      </c>
      <c r="R21" s="15">
        <v>4</v>
      </c>
      <c r="S21" s="15" t="s">
        <v>7</v>
      </c>
      <c r="T21" s="9">
        <f t="shared" si="5"/>
        <v>2.2360679774997898</v>
      </c>
      <c r="U21" s="12"/>
      <c r="V21" s="34" t="s">
        <v>32</v>
      </c>
      <c r="W21" s="34"/>
      <c r="X21" s="34"/>
      <c r="Y21" s="34"/>
      <c r="Z21" s="34"/>
      <c r="AA21" s="34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14</v>
      </c>
      <c r="I22" s="4">
        <v>4</v>
      </c>
      <c r="J22" s="4">
        <v>7</v>
      </c>
      <c r="K22" s="4" t="s">
        <v>7</v>
      </c>
      <c r="L22" s="8">
        <f t="shared" si="4"/>
        <v>2.8284271247461903</v>
      </c>
      <c r="M22" s="12"/>
      <c r="P22" s="15">
        <v>14</v>
      </c>
      <c r="Q22" s="15">
        <v>4</v>
      </c>
      <c r="R22" s="15">
        <v>7</v>
      </c>
      <c r="S22" s="15" t="s">
        <v>7</v>
      </c>
      <c r="T22" s="9">
        <f t="shared" si="5"/>
        <v>2.8284271247461903</v>
      </c>
      <c r="U22" s="12"/>
      <c r="V22" s="34"/>
      <c r="W22" s="34"/>
      <c r="X22" s="34"/>
      <c r="Y22" s="34"/>
      <c r="Z22" s="34"/>
      <c r="AA22" s="34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9</v>
      </c>
      <c r="I23" s="4">
        <v>9</v>
      </c>
      <c r="J23" s="4">
        <v>5</v>
      </c>
      <c r="K23" s="4" t="s">
        <v>9</v>
      </c>
      <c r="L23" s="8">
        <f t="shared" si="4"/>
        <v>3</v>
      </c>
      <c r="M23" s="12"/>
      <c r="P23" s="14">
        <v>16</v>
      </c>
      <c r="Q23" s="14">
        <v>6</v>
      </c>
      <c r="R23" s="14">
        <v>8</v>
      </c>
      <c r="S23" s="14" t="s">
        <v>9</v>
      </c>
      <c r="T23" s="9">
        <f t="shared" si="5"/>
        <v>3</v>
      </c>
      <c r="U23" s="12"/>
      <c r="V23" s="34"/>
      <c r="W23" s="34"/>
      <c r="X23" s="34"/>
      <c r="Y23" s="34"/>
      <c r="Z23" s="34"/>
      <c r="AA23" s="34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16</v>
      </c>
      <c r="I24" s="4">
        <v>6</v>
      </c>
      <c r="J24" s="4">
        <v>8</v>
      </c>
      <c r="K24" s="4" t="s">
        <v>9</v>
      </c>
      <c r="L24" s="8">
        <f t="shared" si="4"/>
        <v>3</v>
      </c>
      <c r="M24" s="12"/>
      <c r="P24" s="14">
        <v>9</v>
      </c>
      <c r="Q24" s="14">
        <v>9</v>
      </c>
      <c r="R24" s="14">
        <v>5</v>
      </c>
      <c r="S24" s="14" t="s">
        <v>9</v>
      </c>
      <c r="T24" s="9">
        <f t="shared" si="5"/>
        <v>3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15</v>
      </c>
      <c r="I25" s="4">
        <v>5</v>
      </c>
      <c r="J25" s="4">
        <v>8</v>
      </c>
      <c r="K25" s="4" t="s">
        <v>9</v>
      </c>
      <c r="L25" s="8">
        <f t="shared" si="4"/>
        <v>3.1622776601683795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5"/>
        <v>3.1622776601683795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">
      <c r="C26" s="6">
        <v>21</v>
      </c>
      <c r="D26" s="6">
        <v>4</v>
      </c>
      <c r="E26" s="6">
        <v>5</v>
      </c>
      <c r="F26" s="6" t="s">
        <v>13</v>
      </c>
      <c r="H26" s="4">
        <v>4</v>
      </c>
      <c r="I26" s="4">
        <v>4</v>
      </c>
      <c r="J26" s="4">
        <v>2</v>
      </c>
      <c r="K26" s="4" t="s">
        <v>9</v>
      </c>
      <c r="L26" s="8">
        <f t="shared" si="4"/>
        <v>3.6055512754639891</v>
      </c>
      <c r="M26" s="12"/>
      <c r="P26" s="14">
        <v>13</v>
      </c>
      <c r="Q26" s="14">
        <v>3</v>
      </c>
      <c r="R26" s="14">
        <v>7</v>
      </c>
      <c r="S26" s="14" t="s">
        <v>7</v>
      </c>
      <c r="T26" s="9">
        <f t="shared" si="5"/>
        <v>3.6055512754639891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">
      <c r="H27" s="4">
        <v>13</v>
      </c>
      <c r="I27" s="4">
        <v>3</v>
      </c>
      <c r="J27" s="4">
        <v>7</v>
      </c>
      <c r="K27" s="4" t="s">
        <v>7</v>
      </c>
      <c r="L27" s="8">
        <f t="shared" si="4"/>
        <v>3.6055512754639891</v>
      </c>
      <c r="M27" s="12"/>
      <c r="P27" s="14">
        <v>4</v>
      </c>
      <c r="Q27" s="14">
        <v>4</v>
      </c>
      <c r="R27" s="14">
        <v>2</v>
      </c>
      <c r="S27" s="14" t="s">
        <v>9</v>
      </c>
      <c r="T27" s="9">
        <f t="shared" si="5"/>
        <v>3.6055512754639891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">
      <c r="H28" s="4">
        <v>10</v>
      </c>
      <c r="I28" s="4">
        <v>10</v>
      </c>
      <c r="J28" s="4">
        <v>5</v>
      </c>
      <c r="K28" s="4" t="s">
        <v>7</v>
      </c>
      <c r="L28" s="8">
        <f t="shared" si="4"/>
        <v>4</v>
      </c>
      <c r="M28" s="12"/>
      <c r="P28" s="14">
        <v>10</v>
      </c>
      <c r="Q28" s="14">
        <v>10</v>
      </c>
      <c r="R28" s="14">
        <v>5</v>
      </c>
      <c r="S28" s="14" t="s">
        <v>7</v>
      </c>
      <c r="T28" s="9">
        <f t="shared" si="5"/>
        <v>4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4"/>
        <v>4.1231056256176606</v>
      </c>
      <c r="M29" s="12"/>
      <c r="P29" s="14">
        <v>12</v>
      </c>
      <c r="Q29" s="14">
        <v>2</v>
      </c>
      <c r="R29" s="14">
        <v>6</v>
      </c>
      <c r="S29" s="14" t="s">
        <v>9</v>
      </c>
      <c r="T29" s="9">
        <f t="shared" si="5"/>
        <v>4.1231056256176606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">
      <c r="H30" s="4">
        <v>17</v>
      </c>
      <c r="I30" s="4">
        <v>7</v>
      </c>
      <c r="J30" s="4">
        <v>9</v>
      </c>
      <c r="K30" s="4" t="s">
        <v>7</v>
      </c>
      <c r="L30" s="8">
        <f t="shared" si="4"/>
        <v>4.1231056256176606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5"/>
        <v>4.1231056256176606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">
      <c r="H31" s="4">
        <v>3</v>
      </c>
      <c r="I31" s="4">
        <v>3</v>
      </c>
      <c r="J31" s="4">
        <v>2</v>
      </c>
      <c r="K31" s="4" t="s">
        <v>7</v>
      </c>
      <c r="L31" s="8">
        <f t="shared" si="4"/>
        <v>4.2426406871192848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5"/>
        <v>4.2426406871192848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">
      <c r="H32" s="4">
        <v>18</v>
      </c>
      <c r="I32" s="4">
        <v>8</v>
      </c>
      <c r="J32" s="4">
        <v>9</v>
      </c>
      <c r="K32" s="4" t="s">
        <v>7</v>
      </c>
      <c r="L32" s="8">
        <f t="shared" si="4"/>
        <v>4.4721359549995796</v>
      </c>
      <c r="M32" s="12"/>
      <c r="P32" s="14">
        <v>18</v>
      </c>
      <c r="Q32" s="14">
        <v>8</v>
      </c>
      <c r="R32" s="14">
        <v>9</v>
      </c>
      <c r="S32" s="14" t="s">
        <v>7</v>
      </c>
      <c r="T32" s="9">
        <f t="shared" si="5"/>
        <v>4.4721359549995796</v>
      </c>
      <c r="U32" s="12"/>
    </row>
    <row r="33" spans="8:35" ht="15.75" customHeight="1" x14ac:dyDescent="0.3">
      <c r="H33" s="4">
        <v>11</v>
      </c>
      <c r="I33" s="4">
        <v>1</v>
      </c>
      <c r="J33" s="4">
        <v>6</v>
      </c>
      <c r="K33" s="4" t="s">
        <v>9</v>
      </c>
      <c r="L33" s="8">
        <f t="shared" si="4"/>
        <v>5.0990195135927845</v>
      </c>
      <c r="M33" s="12"/>
      <c r="P33" s="14">
        <v>11</v>
      </c>
      <c r="Q33" s="14">
        <v>1</v>
      </c>
      <c r="R33" s="14">
        <v>6</v>
      </c>
      <c r="S33" s="14" t="s">
        <v>9</v>
      </c>
      <c r="T33" s="9">
        <f t="shared" si="5"/>
        <v>5.0990195135927845</v>
      </c>
      <c r="U33" s="12"/>
    </row>
    <row r="34" spans="8:35" ht="15.75" customHeight="1" x14ac:dyDescent="0.3">
      <c r="H34" s="4">
        <v>2</v>
      </c>
      <c r="I34" s="4">
        <v>2</v>
      </c>
      <c r="J34" s="4">
        <v>1</v>
      </c>
      <c r="K34" s="4" t="s">
        <v>7</v>
      </c>
      <c r="L34" s="8">
        <f t="shared" si="4"/>
        <v>5.6568542494923806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5"/>
        <v>5.6568542494923806</v>
      </c>
      <c r="U34" s="12"/>
      <c r="AC34" s="29" t="s">
        <v>14</v>
      </c>
      <c r="AD34" s="30"/>
      <c r="AE34" s="30"/>
      <c r="AF34" s="30"/>
    </row>
    <row r="35" spans="8:35" ht="15.75" customHeight="1" x14ac:dyDescent="0.3">
      <c r="H35" s="4">
        <v>19</v>
      </c>
      <c r="I35" s="4">
        <v>9</v>
      </c>
      <c r="J35" s="4">
        <v>10</v>
      </c>
      <c r="K35" s="4" t="s">
        <v>9</v>
      </c>
      <c r="L35" s="8">
        <f t="shared" si="4"/>
        <v>5.8309518948453007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5"/>
        <v>5.8309518948453007</v>
      </c>
      <c r="U35" s="12"/>
      <c r="AC35" s="30"/>
      <c r="AD35" s="30"/>
      <c r="AE35" s="30"/>
      <c r="AF35" s="30"/>
    </row>
    <row r="36" spans="8:35" ht="15.75" customHeight="1" x14ac:dyDescent="0.3">
      <c r="H36" s="4">
        <v>1</v>
      </c>
      <c r="I36" s="4">
        <v>1</v>
      </c>
      <c r="J36" s="4">
        <v>1</v>
      </c>
      <c r="K36" s="4" t="s">
        <v>7</v>
      </c>
      <c r="L36" s="8">
        <f t="shared" si="4"/>
        <v>6.4031242374328485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5"/>
        <v>6.4031242374328485</v>
      </c>
      <c r="U36" s="12"/>
    </row>
    <row r="37" spans="8:35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4"/>
        <v>6.4031242374328485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5"/>
        <v>6.4031242374328485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25</v>
      </c>
      <c r="AI37" s="27" t="s">
        <v>26</v>
      </c>
    </row>
    <row r="38" spans="8:35" ht="15.75" customHeight="1" x14ac:dyDescent="0.3">
      <c r="AC38" s="15">
        <v>14</v>
      </c>
      <c r="AD38" s="15">
        <v>4</v>
      </c>
      <c r="AE38" s="15">
        <v>7</v>
      </c>
      <c r="AF38" s="15" t="s">
        <v>7</v>
      </c>
      <c r="AG38" s="26">
        <f t="shared" ref="AG38:AG57" si="6">((ABS(AD38-5)^2)+(ABS(AE38-6)^2))^(1/2)</f>
        <v>1.4142135623730951</v>
      </c>
      <c r="AH38" s="23">
        <f>AD38</f>
        <v>4</v>
      </c>
      <c r="AI38" s="23">
        <f>AE38</f>
        <v>7</v>
      </c>
    </row>
    <row r="39" spans="8:35" ht="15.75" customHeight="1" x14ac:dyDescent="0.3">
      <c r="AC39" s="15">
        <v>15</v>
      </c>
      <c r="AD39" s="15">
        <v>5</v>
      </c>
      <c r="AE39" s="15">
        <v>8</v>
      </c>
      <c r="AF39" s="15" t="s">
        <v>9</v>
      </c>
      <c r="AG39" s="26">
        <f t="shared" si="6"/>
        <v>2</v>
      </c>
      <c r="AH39" s="23">
        <f t="shared" ref="AH39:AI42" si="7">AD39</f>
        <v>5</v>
      </c>
      <c r="AI39" s="23">
        <f t="shared" si="7"/>
        <v>8</v>
      </c>
    </row>
    <row r="40" spans="8:35" ht="15.75" customHeight="1" x14ac:dyDescent="0.3">
      <c r="AC40" s="15">
        <v>13</v>
      </c>
      <c r="AD40" s="15">
        <v>3</v>
      </c>
      <c r="AE40" s="15">
        <v>7</v>
      </c>
      <c r="AF40" s="15" t="s">
        <v>7</v>
      </c>
      <c r="AG40" s="26">
        <f t="shared" si="6"/>
        <v>2.2360679774997898</v>
      </c>
      <c r="AH40" s="23">
        <f t="shared" si="7"/>
        <v>3</v>
      </c>
      <c r="AI40" s="23">
        <f t="shared" si="7"/>
        <v>7</v>
      </c>
    </row>
    <row r="41" spans="8:35" ht="15.75" customHeight="1" x14ac:dyDescent="0.3">
      <c r="AC41" s="15">
        <v>16</v>
      </c>
      <c r="AD41" s="15">
        <v>6</v>
      </c>
      <c r="AE41" s="15">
        <v>8</v>
      </c>
      <c r="AF41" s="15" t="s">
        <v>9</v>
      </c>
      <c r="AG41" s="26">
        <f t="shared" si="6"/>
        <v>2.2360679774997898</v>
      </c>
      <c r="AH41" s="23">
        <f t="shared" si="7"/>
        <v>6</v>
      </c>
      <c r="AI41" s="23">
        <f t="shared" si="7"/>
        <v>8</v>
      </c>
    </row>
    <row r="42" spans="8:35" ht="15.75" customHeight="1" x14ac:dyDescent="0.3">
      <c r="AC42" s="15">
        <v>7</v>
      </c>
      <c r="AD42" s="15">
        <v>7</v>
      </c>
      <c r="AE42" s="15">
        <v>4</v>
      </c>
      <c r="AF42" s="15" t="s">
        <v>7</v>
      </c>
      <c r="AG42" s="26">
        <f t="shared" si="6"/>
        <v>2.8284271247461903</v>
      </c>
      <c r="AH42" s="23">
        <f t="shared" si="7"/>
        <v>7</v>
      </c>
      <c r="AI42" s="23">
        <f t="shared" si="7"/>
        <v>4</v>
      </c>
    </row>
    <row r="43" spans="8:35" ht="15.75" customHeight="1" x14ac:dyDescent="0.3">
      <c r="AC43" s="14">
        <v>5</v>
      </c>
      <c r="AD43" s="14">
        <v>5</v>
      </c>
      <c r="AE43" s="14">
        <v>3</v>
      </c>
      <c r="AF43" s="14" t="s">
        <v>9</v>
      </c>
      <c r="AG43" s="26">
        <f t="shared" si="6"/>
        <v>3</v>
      </c>
    </row>
    <row r="44" spans="8:35" ht="15.75" customHeight="1" x14ac:dyDescent="0.3">
      <c r="AC44" s="14">
        <v>12</v>
      </c>
      <c r="AD44" s="14">
        <v>2</v>
      </c>
      <c r="AE44" s="14">
        <v>6</v>
      </c>
      <c r="AF44" s="14" t="s">
        <v>9</v>
      </c>
      <c r="AG44" s="26">
        <f t="shared" si="6"/>
        <v>3</v>
      </c>
    </row>
    <row r="45" spans="8:35" ht="15.75" customHeight="1" x14ac:dyDescent="0.3">
      <c r="AC45" s="4">
        <v>6</v>
      </c>
      <c r="AD45" s="4">
        <v>6</v>
      </c>
      <c r="AE45" s="4">
        <v>3</v>
      </c>
      <c r="AF45" s="4" t="s">
        <v>9</v>
      </c>
      <c r="AG45" s="26">
        <f t="shared" si="6"/>
        <v>3.1622776601683795</v>
      </c>
    </row>
    <row r="46" spans="8:35" ht="15.75" customHeight="1" x14ac:dyDescent="0.3">
      <c r="AC46" s="4">
        <v>8</v>
      </c>
      <c r="AD46" s="4">
        <v>8</v>
      </c>
      <c r="AE46" s="4">
        <v>4</v>
      </c>
      <c r="AF46" s="4" t="s">
        <v>7</v>
      </c>
      <c r="AG46" s="26">
        <f t="shared" si="6"/>
        <v>3.6055512754639891</v>
      </c>
    </row>
    <row r="47" spans="8:35" ht="15.75" customHeight="1" x14ac:dyDescent="0.3">
      <c r="AC47" s="4">
        <v>17</v>
      </c>
      <c r="AD47" s="4">
        <v>7</v>
      </c>
      <c r="AE47" s="4">
        <v>9</v>
      </c>
      <c r="AF47" s="4" t="s">
        <v>7</v>
      </c>
      <c r="AG47" s="26">
        <f t="shared" si="6"/>
        <v>3.6055512754639891</v>
      </c>
    </row>
    <row r="48" spans="8:35" ht="15.75" customHeight="1" x14ac:dyDescent="0.3">
      <c r="AC48" s="4">
        <v>11</v>
      </c>
      <c r="AD48" s="4">
        <v>1</v>
      </c>
      <c r="AE48" s="4">
        <v>6</v>
      </c>
      <c r="AF48" s="4" t="s">
        <v>9</v>
      </c>
      <c r="AG48" s="26">
        <f t="shared" si="6"/>
        <v>4</v>
      </c>
    </row>
    <row r="49" spans="29:33" ht="15.75" customHeight="1" x14ac:dyDescent="0.3">
      <c r="AC49" s="4">
        <v>4</v>
      </c>
      <c r="AD49" s="4">
        <v>4</v>
      </c>
      <c r="AE49" s="4">
        <v>2</v>
      </c>
      <c r="AF49" s="4" t="s">
        <v>9</v>
      </c>
      <c r="AG49" s="26">
        <f t="shared" si="6"/>
        <v>4.1231056256176606</v>
      </c>
    </row>
    <row r="50" spans="29:33" ht="15.75" customHeight="1" x14ac:dyDescent="0.3">
      <c r="AC50" s="4">
        <v>9</v>
      </c>
      <c r="AD50" s="4">
        <v>9</v>
      </c>
      <c r="AE50" s="4">
        <v>5</v>
      </c>
      <c r="AF50" s="4" t="s">
        <v>9</v>
      </c>
      <c r="AG50" s="26">
        <f t="shared" si="6"/>
        <v>4.1231056256176606</v>
      </c>
    </row>
    <row r="51" spans="29:33" ht="15.75" customHeight="1" x14ac:dyDescent="0.3">
      <c r="AC51" s="4">
        <v>18</v>
      </c>
      <c r="AD51" s="4">
        <v>8</v>
      </c>
      <c r="AE51" s="4">
        <v>9</v>
      </c>
      <c r="AF51" s="4" t="s">
        <v>7</v>
      </c>
      <c r="AG51" s="26">
        <f t="shared" si="6"/>
        <v>4.2426406871192848</v>
      </c>
    </row>
    <row r="52" spans="29:33" ht="15.75" customHeight="1" x14ac:dyDescent="0.3">
      <c r="AC52" s="4">
        <v>3</v>
      </c>
      <c r="AD52" s="4">
        <v>3</v>
      </c>
      <c r="AE52" s="4">
        <v>2</v>
      </c>
      <c r="AF52" s="4" t="s">
        <v>7</v>
      </c>
      <c r="AG52" s="26">
        <f t="shared" si="6"/>
        <v>4.4721359549995796</v>
      </c>
    </row>
    <row r="53" spans="29:33" ht="15.75" customHeight="1" x14ac:dyDescent="0.3">
      <c r="AC53" s="4">
        <v>10</v>
      </c>
      <c r="AD53" s="4">
        <v>10</v>
      </c>
      <c r="AE53" s="4">
        <v>5</v>
      </c>
      <c r="AF53" s="4" t="s">
        <v>7</v>
      </c>
      <c r="AG53" s="26">
        <f t="shared" si="6"/>
        <v>5.0990195135927845</v>
      </c>
    </row>
    <row r="54" spans="29:33" ht="15.75" customHeight="1" x14ac:dyDescent="0.3">
      <c r="AC54" s="4">
        <v>19</v>
      </c>
      <c r="AD54" s="4">
        <v>9</v>
      </c>
      <c r="AE54" s="4">
        <v>10</v>
      </c>
      <c r="AF54" s="4" t="s">
        <v>9</v>
      </c>
      <c r="AG54" s="26">
        <f t="shared" si="6"/>
        <v>5.6568542494923806</v>
      </c>
    </row>
    <row r="55" spans="29:33" ht="15.75" customHeight="1" x14ac:dyDescent="0.3">
      <c r="AC55" s="4">
        <v>2</v>
      </c>
      <c r="AD55" s="4">
        <v>2</v>
      </c>
      <c r="AE55" s="4">
        <v>1</v>
      </c>
      <c r="AF55" s="4" t="s">
        <v>7</v>
      </c>
      <c r="AG55" s="26">
        <f t="shared" si="6"/>
        <v>5.8309518948453007</v>
      </c>
    </row>
    <row r="56" spans="29:33" ht="15.75" customHeight="1" x14ac:dyDescent="0.3">
      <c r="AC56" s="4">
        <v>1</v>
      </c>
      <c r="AD56" s="4">
        <v>1</v>
      </c>
      <c r="AE56" s="4">
        <v>1</v>
      </c>
      <c r="AF56" s="4" t="s">
        <v>7</v>
      </c>
      <c r="AG56" s="26">
        <f t="shared" si="6"/>
        <v>6.4031242374328485</v>
      </c>
    </row>
    <row r="57" spans="29:33" ht="15.75" customHeight="1" x14ac:dyDescent="0.3">
      <c r="AC57" s="4">
        <v>20</v>
      </c>
      <c r="AD57" s="4">
        <v>10</v>
      </c>
      <c r="AE57" s="4">
        <v>10</v>
      </c>
      <c r="AF57" s="4" t="s">
        <v>7</v>
      </c>
      <c r="AG57" s="26">
        <f t="shared" si="6"/>
        <v>6.4031242374328485</v>
      </c>
    </row>
    <row r="58" spans="29:33" ht="15.75" customHeight="1" x14ac:dyDescent="0.3"/>
    <row r="59" spans="29:33" ht="15.75" customHeight="1" x14ac:dyDescent="0.3"/>
    <row r="60" spans="29:33" ht="15.75" customHeight="1" x14ac:dyDescent="0.3"/>
    <row r="61" spans="29:33" ht="15.75" customHeight="1" x14ac:dyDescent="0.3"/>
    <row r="62" spans="29:33" ht="15.75" customHeight="1" x14ac:dyDescent="0.3"/>
    <row r="63" spans="29:33" ht="15.75" customHeight="1" x14ac:dyDescent="0.3"/>
    <row r="64" spans="29:3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5</vt:i4>
      </vt:variant>
      <vt:variant>
        <vt:lpstr>Rentang Bernama</vt:lpstr>
      </vt:variant>
      <vt:variant>
        <vt:i4>1</vt:i4>
      </vt:variant>
    </vt:vector>
  </HeadingPairs>
  <TitlesOfParts>
    <vt:vector size="6" baseType="lpstr">
      <vt:lpstr>Sheet1</vt:lpstr>
      <vt:lpstr>Sheet1 (2)</vt:lpstr>
      <vt:lpstr>Sheet1 (3)</vt:lpstr>
      <vt:lpstr>Sheet1 (4)</vt:lpstr>
      <vt:lpstr>Sheet1 (5)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Roni Gunawan Muhammad</cp:lastModifiedBy>
  <cp:lastPrinted>2026-04-16T20:07:51Z</cp:lastPrinted>
  <dcterms:created xsi:type="dcterms:W3CDTF">2025-03-25T06:11:06Z</dcterms:created>
  <dcterms:modified xsi:type="dcterms:W3CDTF">2026-04-20T13:54:15Z</dcterms:modified>
</cp:coreProperties>
</file>